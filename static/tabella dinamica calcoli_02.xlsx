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_h\ownCloud\docum\Tabella Dinamica\"/>
    </mc:Choice>
  </mc:AlternateContent>
  <xr:revisionPtr revIDLastSave="0" documentId="8_{C9702D4E-0C82-4631-ADCC-DADED0B8CF60}" xr6:coauthVersionLast="47" xr6:coauthVersionMax="47" xr10:uidLastSave="{00000000-0000-0000-0000-000000000000}"/>
  <bookViews>
    <workbookView xWindow="-120" yWindow="-120" windowWidth="29040" windowHeight="15720" xr2:uid="{8E759096-030E-482B-9AA6-60414574566E}"/>
  </bookViews>
  <sheets>
    <sheet name="COSTI BOLLO" sheetId="1" r:id="rId1"/>
    <sheet name="LINK REGIO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F45" i="1"/>
  <c r="J45" i="1"/>
  <c r="K45" i="1"/>
  <c r="K43" i="1"/>
  <c r="G43" i="1"/>
  <c r="E43" i="1"/>
  <c r="F43" i="1"/>
  <c r="K44" i="1"/>
  <c r="J44" i="1"/>
  <c r="I44" i="1"/>
  <c r="H44" i="1"/>
  <c r="G44" i="1"/>
  <c r="F44" i="1"/>
  <c r="E44" i="1"/>
  <c r="K42" i="1"/>
  <c r="J42" i="1"/>
  <c r="I42" i="1"/>
  <c r="H42" i="1"/>
  <c r="G42" i="1"/>
  <c r="F42" i="1"/>
  <c r="E42" i="1"/>
  <c r="G41" i="1"/>
  <c r="F41" i="1"/>
  <c r="E41" i="1"/>
  <c r="F40" i="1"/>
  <c r="K40" i="1"/>
  <c r="J40" i="1"/>
  <c r="I40" i="1"/>
  <c r="H40" i="1"/>
  <c r="G40" i="1"/>
  <c r="E40" i="1"/>
  <c r="G38" i="1"/>
  <c r="K38" i="1"/>
  <c r="J38" i="1"/>
  <c r="I38" i="1"/>
  <c r="H38" i="1"/>
  <c r="F38" i="1"/>
  <c r="E38" i="1"/>
  <c r="K37" i="1"/>
  <c r="G37" i="1"/>
  <c r="G35" i="1"/>
  <c r="H35" i="1"/>
  <c r="I35" i="1"/>
  <c r="J35" i="1"/>
  <c r="K35" i="1"/>
  <c r="H34" i="1"/>
  <c r="I34" i="1"/>
  <c r="J34" i="1"/>
  <c r="K34" i="1"/>
  <c r="G34" i="1"/>
  <c r="E35" i="1"/>
  <c r="F35" i="1"/>
  <c r="F34" i="1"/>
  <c r="E34" i="1"/>
  <c r="H30" i="1"/>
  <c r="I30" i="1" s="1"/>
  <c r="J30" i="1" s="1"/>
  <c r="K30" i="1" s="1"/>
  <c r="G30" i="1"/>
  <c r="E31" i="1"/>
  <c r="F31" i="1"/>
  <c r="E32" i="1"/>
  <c r="F32" i="1"/>
  <c r="F30" i="1"/>
  <c r="E30" i="1"/>
  <c r="F29" i="1"/>
  <c r="G29" i="1" s="1"/>
  <c r="H29" i="1" s="1"/>
  <c r="I29" i="1" s="1"/>
  <c r="J29" i="1" s="1"/>
  <c r="K29" i="1" s="1"/>
  <c r="E29" i="1"/>
  <c r="G27" i="1"/>
  <c r="H27" i="1" s="1"/>
  <c r="I27" i="1" s="1"/>
  <c r="J27" i="1" s="1"/>
  <c r="K27" i="1" s="1"/>
  <c r="F27" i="1"/>
  <c r="F26" i="1"/>
  <c r="E27" i="1"/>
  <c r="E26" i="1"/>
  <c r="K25" i="1"/>
  <c r="G25" i="1"/>
  <c r="K21" i="1"/>
  <c r="K22" i="1"/>
  <c r="K23" i="1"/>
  <c r="K20" i="1"/>
  <c r="J23" i="1"/>
  <c r="J22" i="1"/>
  <c r="J20" i="1"/>
  <c r="I22" i="1"/>
  <c r="I20" i="1"/>
  <c r="H22" i="1"/>
  <c r="H20" i="1"/>
  <c r="G20" i="1"/>
  <c r="G21" i="1"/>
  <c r="G22" i="1"/>
  <c r="G19" i="1"/>
  <c r="F22" i="1"/>
  <c r="F20" i="1"/>
  <c r="F21" i="1"/>
  <c r="F23" i="1"/>
  <c r="E23" i="1"/>
  <c r="E20" i="1"/>
  <c r="E21" i="1"/>
  <c r="E22" i="1"/>
  <c r="E19" i="1"/>
  <c r="F19" i="1"/>
  <c r="H18" i="1"/>
  <c r="I18" i="1"/>
  <c r="J18" i="1"/>
  <c r="K18" i="1"/>
  <c r="G18" i="1"/>
  <c r="F18" i="1"/>
  <c r="E18" i="1"/>
  <c r="H15" i="1"/>
  <c r="I15" i="1" s="1"/>
  <c r="J15" i="1" s="1"/>
  <c r="K15" i="1" s="1"/>
  <c r="I16" i="1"/>
  <c r="J16" i="1" s="1"/>
  <c r="K16" i="1" s="1"/>
  <c r="H16" i="1"/>
  <c r="G16" i="1"/>
  <c r="F16" i="1"/>
  <c r="E16" i="1"/>
  <c r="G15" i="1"/>
  <c r="K14" i="1"/>
  <c r="J14" i="1"/>
  <c r="I13" i="1"/>
  <c r="J13" i="1" s="1"/>
  <c r="K13" i="1" s="1"/>
  <c r="H13" i="1"/>
  <c r="G13" i="1"/>
  <c r="F13" i="1"/>
  <c r="E13" i="1"/>
  <c r="I12" i="1"/>
  <c r="J12" i="1" s="1"/>
  <c r="K12" i="1" s="1"/>
  <c r="H12" i="1"/>
  <c r="G12" i="1"/>
  <c r="F12" i="1"/>
  <c r="E12" i="1"/>
  <c r="K10" i="1"/>
  <c r="E10" i="1"/>
  <c r="F10" i="1"/>
  <c r="I8" i="1"/>
  <c r="J8" i="1" s="1"/>
  <c r="K8" i="1" s="1"/>
  <c r="H8" i="1"/>
  <c r="E9" i="1"/>
  <c r="F9" i="1" s="1"/>
  <c r="G8" i="1"/>
  <c r="F8" i="1"/>
  <c r="E8" i="1"/>
  <c r="G7" i="1"/>
  <c r="H7" i="1"/>
  <c r="I7" i="1" s="1"/>
  <c r="J7" i="1" s="1"/>
  <c r="K7" i="1" s="1"/>
  <c r="F7" i="1"/>
  <c r="E7" i="1"/>
  <c r="I5" i="1"/>
  <c r="J5" i="1" s="1"/>
  <c r="K5" i="1" s="1"/>
  <c r="H5" i="1"/>
  <c r="G5" i="1"/>
  <c r="F5" i="1"/>
  <c r="E5" i="1"/>
  <c r="F4" i="1"/>
  <c r="E4" i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tc={3307C452-0779-44FF-ADE2-540C3036C7D8}</author>
    <author>tc={C934124B-FA90-432A-9251-86A76CE1BEA9}</author>
    <author>tc={10813DC6-8F67-4937-A422-46448FB9B62B}</author>
    <author>tc={6C4A623D-CDA3-4902-AA95-344E2FC57953}</author>
    <author>tc={7F8F5135-BFF5-41D1-AD04-5E5068629969}</author>
    <author>tc={F1D18065-CCBE-4F0C-A6F5-8DC9CC8D8DE4}</author>
    <author>tc={E0803365-26C8-4A74-8F98-4F226D07778A}</author>
    <author>tc={7E2A5682-DB46-442D-9BA9-F03BEE14B334}</author>
    <author>tc={C74A6EED-DD5C-44C0-9C3E-BB2B9A3EEE5E}</author>
    <author>tc={AD18AB43-5FA3-44CA-ABFB-63D207A1FC55}</author>
    <author>tc={0469FE4E-58E8-436B-8D0E-64400187FBF9}</author>
    <author>tc={07B55D0F-D41C-48DD-9E7C-52F94F8B8EFF}</author>
    <author>tc={A204209E-C2B6-4820-BE4D-3DAE111E480F}</author>
    <author>tc={99AC96D2-005F-4B7A-8889-906EE99164E5}</author>
    <author>tc={EC23446A-8757-4C5C-A531-2B1A99ED3E55}</author>
    <author>tc={DDBEA887-A3C7-433F-90B6-249CA8D847E6}</author>
    <author>tc={C5059562-4FD1-4A4C-87A4-F6281E58F208}</author>
    <author>tc={D0A15309-C7D1-4BF7-B273-94DA21F9DC3B}</author>
    <author>tc={CE4540C8-47B1-45C6-B612-09E778BFE6D6}</author>
    <author>tc={C2B4AB6C-2A75-4A44-9B30-14A0CB6861DE}</author>
    <author>tc={C32BCF2F-4EE6-41D5-AD96-731EF04B69D4}</author>
    <author>tc={56667021-3560-4710-A3F2-0F7D8DA06F51}</author>
    <author>tc={B7F13AEA-8DC3-4CCB-8957-0C5B4AD35A7A}</author>
    <author>tc={CAD5198F-96A6-46F2-8887-733BB3E26460}</author>
    <author>tc={FC963531-155B-4CE0-8219-62181C37F0A1}</author>
    <author>tc={3B4856A8-EBB0-4F95-81EE-201EDAA61864}</author>
    <author>tc={BEEC7071-433E-49CE-8E66-17F9B4CE4A13}</author>
    <author>tc={9B6322F5-DB43-47F0-A613-CF1BAF36D4C0}</author>
    <author>tc={56FFE511-B7F1-4EC2-8A88-9149D035075B}</author>
    <author>tc={5E2FBEC5-8FD9-433A-9C24-28BBA873AC63}</author>
    <author>tc={31C2C7C0-58C1-4CCC-8CFE-DCADCCAE1D7D}</author>
    <author>tc={EBE78A88-27E1-4049-8198-F28960E60E26}</author>
    <author>tc={4F65B834-3B09-49FE-AB2D-84EA029FEE1A}</author>
    <author>tc={B54AB8FE-B564-44B4-B94F-7F8599905140}</author>
    <author>tc={7506550A-E57C-4579-8EC0-6EBC26F92AEC}</author>
    <author>tc={302BEC2F-F447-4107-81CC-B49BE3C5E04D}</author>
    <author>tc={1899EB03-5B13-446F-980D-16C50CFF1488}</author>
    <author>tc={49543A97-4BC1-4DDA-BCC5-3E923325C576}</author>
    <author>tc={AEF2CCC3-463E-4F13-8CC4-D3241180ED16}</author>
    <author>tc={AFE2F96A-DFAA-48FD-A1C2-FCEB1DEA38AD}</author>
    <author>tc={EF7B6D4A-8452-4528-BA87-0562249141CB}</author>
    <author>tc={A1BFF7C7-EBFB-4D49-8243-EDB9E23CF1D5}</author>
    <author>tc={F85592B0-F6EA-438E-98C4-03143ECE29AD}</author>
    <author>tc={D8BC2131-A8B0-4100-99E8-727B8C3453D0}</author>
    <author>tc={D3992E14-7C36-4065-963A-ECFAEC54D8B5}</author>
    <author>tc={94A1515C-E781-481C-8784-4AA1D9A269A6}</author>
    <author>tc={933E53F6-1EC1-437D-BC39-93003F9700E2}</author>
    <author>tc={52DBF580-470A-49BE-910B-0338B680A418}</author>
    <author>tc={D02356E9-EE93-44F9-9D31-33C6277F0225}</author>
    <author>tc={1EC4BE96-3DA0-4EC6-A79B-CE0097777B9E}</author>
    <author>tc={CD265E89-72B0-483B-8032-B11F098E7076}</author>
    <author>tc={1ACE2EDC-D043-4780-B659-8FF157E067F2}</author>
    <author>tc={20690B02-1467-417A-AA2C-082EDCABE28D}</author>
    <author>tc={7E1EF672-DF7E-412C-A864-1AD1FED4233A}</author>
    <author>tc={71C91FFA-BA85-42EA-AE74-6CBECB0C278C}</author>
    <author>tc={3279CB00-150A-41A3-BABC-486ED5F115CC}</author>
    <author>tc={2CF796DD-B6F4-4C1D-8F8C-12F465E61F42}</author>
    <author>tc={61A93DDF-AC0A-46FD-A887-03BFF340FF51}</author>
    <author>tc={A6B638EC-8DA2-4B26-876B-DCABB678E355}</author>
    <author>tc={DDE60486-6F73-4B99-B535-50D38EE546E3}</author>
    <author>tc={5632FA88-A04A-487E-BCC2-3A49E7513FE8}</author>
    <author>tc={90D699A3-FF5A-4569-92F2-F188AFC3B76D}</author>
    <author>tc={0CBB3378-118F-49DC-A5C8-46BB20F4F2A8}</author>
    <author>tc={A54C6284-C813-4D01-A990-56C7AD5A1C56}</author>
    <author>tc={DF1EEA96-280F-4FA8-8388-BDFA09521593}</author>
    <author>tc={DC370879-799F-4115-B190-BD8F2D576741}</author>
    <author>tc={0CDF3F8A-26A9-457F-B503-4121A28395AD}</author>
    <author>tc={5BA15BEC-ECC3-4167-B222-830DAADFD225}</author>
    <author>tc={62C1AD97-AF69-4B88-8514-645119AC14AD}</author>
    <author>tc={B08C323E-14CF-4A54-B006-2BD38DDEF649}</author>
    <author>tc={57D9A548-107E-4E7D-B5D0-9A3C81DB24DD}</author>
    <author>tc={11BA6329-4E7B-423F-9282-3E8E60E3E601}</author>
    <author>tc={58C19300-E4DE-474B-928A-C5DF46613F3E}</author>
    <author>tc={8E84687A-62D1-4702-B587-6934EAB30299}</author>
    <author>tc={3684C7E4-70EF-4DB1-BC51-4B3E993CC127}</author>
    <author>tc={9360C3A9-1828-4459-AEBC-2B5D99FF6447}</author>
    <author>tc={657FEC57-2821-44CB-84B8-63736364F8AB}</author>
    <author>tc={191BF93C-CB4B-4EF4-A2B0-0153E2E894C4}</author>
    <author>tc={F34033C0-298B-4ED0-A2FE-4000A4217003}</author>
    <author>tc={8FAEAA7E-D81B-4CCC-89BC-DA01FBD5B83A}</author>
    <author>tc={7225E9C1-8221-4F92-A153-5A7582B716DD}</author>
    <author>tc={B394CA2D-D501-46D5-9151-7CB0B4A63EA0}</author>
    <author>tc={D5AAEF2F-6F61-493F-A1A8-D50FEEE54A68}</author>
    <author>tc={A2510029-BF6D-48B2-A610-3B300714F38F}</author>
  </authors>
  <commentList>
    <comment ref="D3" authorId="0" shapeId="0" xr:uid="{3307C452-0779-44FF-ADE2-540C3036C7D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4" authorId="1" shapeId="0" xr:uid="{C934124B-FA90-432A-9251-86A76CE1BEA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G4" authorId="2" shapeId="0" xr:uid="{10813DC6-8F67-4937-A422-46448FB9B62B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</t>
      </text>
    </comment>
    <comment ref="H4" authorId="3" shapeId="0" xr:uid="{6C4A623D-CDA3-4902-AA95-344E2FC57953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</t>
      </text>
    </comment>
    <comment ref="I4" authorId="4" shapeId="0" xr:uid="{7F8F5135-BFF5-41D1-AD04-5E5068629969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</t>
      </text>
    </comment>
    <comment ref="K4" authorId="5" shapeId="0" xr:uid="{F1D18065-CCBE-4F0C-A6F5-8DC9CC8D8DE4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</t>
      </text>
    </comment>
    <comment ref="D5" authorId="6" shapeId="0" xr:uid="{E0803365-26C8-4A74-8F98-4F226D07778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6" authorId="7" shapeId="0" xr:uid="{7E2A5682-DB46-442D-9BA9-F03BEE14B33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7 anni, se con rottam fino a Euro 4 sono esenti per 8 anni</t>
      </text>
    </comment>
    <comment ref="H6" authorId="8" shapeId="0" xr:uid="{C74A6EED-DD5C-44C0-9C3E-BB2B9A3EEE5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Con rottamazione fino a Euro 4 sono esenti per 2 anni</t>
      </text>
    </comment>
    <comment ref="J6" authorId="9" shapeId="0" xr:uid="{AD18AB43-5FA3-44CA-ABFB-63D207A1FC5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7 anni, se con rottam fino a Euro 4 sono esenti per 8 anni</t>
      </text>
    </comment>
    <comment ref="K6" authorId="10" shapeId="0" xr:uid="{0469FE4E-58E8-436B-8D0E-64400187FBF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3 anni</t>
      </text>
    </comment>
    <comment ref="D7" authorId="11" shapeId="0" xr:uid="{07B55D0F-D41C-48DD-9E7C-52F94F8B8EF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8" authorId="12" shapeId="0" xr:uid="{A204209E-C2B6-4820-BE4D-3DAE111E480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9" authorId="13" shapeId="0" xr:uid="{99AC96D2-005F-4B7A-8889-906EE99164E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B10" authorId="14" shapeId="0" xr:uid="{EC23446A-8757-4C5C-A531-2B1A99ED3E55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Per Euro 0 e ! Maggioraz del 10%
</t>
      </text>
    </comment>
    <comment ref="D10" authorId="15" shapeId="0" xr:uid="{DDBEA887-A3C7-433F-90B6-249CA8D847E6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</t>
      </text>
    </comment>
    <comment ref="H10" authorId="16" shapeId="0" xr:uid="{C5059562-4FD1-4A4C-87A4-F6281E58F20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5+2</t>
      </text>
    </comment>
    <comment ref="I10" authorId="17" shapeId="0" xr:uid="{D0A15309-C7D1-4BF7-B273-94DA21F9DC3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5+2</t>
      </text>
    </comment>
    <comment ref="D12" authorId="18" shapeId="0" xr:uid="{CE4540C8-47B1-45C6-B612-09E778BFE6D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13" authorId="19" shapeId="0" xr:uid="{C2B4AB6C-2A75-4A44-9B30-14A0CB6861D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G14" authorId="20" shapeId="0" xr:uid="{C32BCF2F-4EE6-41D5-AD96-731EF04B69D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Esente 5 anni poi paga 2.58</t>
      </text>
    </comment>
    <comment ref="H14" authorId="21" shapeId="0" xr:uid="{56667021-3560-4710-A3F2-0F7D8DA06F5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Esente 5 anni fino a 100 kW</t>
      </text>
    </comment>
    <comment ref="I14" authorId="22" shapeId="0" xr:uid="{B7F13AEA-8DC3-4CCB-8957-0C5B4AD35A7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Esente 5 anni fino a 100 kW</t>
      </text>
    </comment>
    <comment ref="D16" authorId="23" shapeId="0" xr:uid="{CAD5198F-96A6-46F2-8887-733BB3E2646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17" authorId="24" shapeId="0" xr:uid="{FC963531-155B-4CE0-8219-62181C37F0A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E17" authorId="25" shapeId="0" xr:uid="{3B4856A8-EBB0-4F95-81EE-201EDAA6186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F17" authorId="26" shapeId="0" xr:uid="{BEEC7071-433E-49CE-8E66-17F9B4CE4A1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G17" authorId="27" shapeId="0" xr:uid="{9B6322F5-DB43-47F0-A613-CF1BAF36D4C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H17" authorId="28" shapeId="0" xr:uid="{56FFE511-B7F1-4EC2-8A88-9149D035075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I17" authorId="29" shapeId="0" xr:uid="{5E2FBEC5-8FD9-433A-9C24-28BBA873AC6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J17" authorId="30" shapeId="0" xr:uid="{31C2C7C0-58C1-4CCC-8CFE-DCADCCAE1D7D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</t>
      </text>
    </comment>
    <comment ref="D18" authorId="31" shapeId="0" xr:uid="{EBE78A88-27E1-4049-8198-F28960E60E2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19" authorId="32" shapeId="0" xr:uid="{4F65B834-3B09-49FE-AB2D-84EA029FEE1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H19" authorId="33" shapeId="0" xr:uid="{B54AB8FE-B564-44B4-B94F-7F859990514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3 anni</t>
      </text>
    </comment>
    <comment ref="I19" authorId="34" shapeId="0" xr:uid="{7506550A-E57C-4579-8EC0-6EBC26F92AE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3 anni</t>
      </text>
    </comment>
    <comment ref="J19" authorId="35" shapeId="0" xr:uid="{302BEC2F-F447-4107-81CC-B49BE3C5E04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3 anni</t>
      </text>
    </comment>
    <comment ref="D20" authorId="36" shapeId="0" xr:uid="{1899EB03-5B13-446F-980D-16C50CFF148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21" authorId="37" shapeId="0" xr:uid="{49543A97-4BC1-4DDA-BCC5-3E923325C57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22" authorId="38" shapeId="0" xr:uid="{AEF2CCC3-463E-4F13-8CC4-D3241180ED1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23" authorId="39" shapeId="0" xr:uid="{AFE2F96A-DFAA-48FD-A1C2-FCEB1DEA38A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H23" authorId="40" shapeId="0" xr:uid="{EF7B6D4A-8452-4528-BA87-0562249141C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3 anni</t>
      </text>
    </comment>
    <comment ref="I23" authorId="41" shapeId="0" xr:uid="{A1BFF7C7-EBFB-4D49-8243-EDB9E23CF1D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3 anni</t>
      </text>
    </comment>
    <comment ref="D25" authorId="42" shapeId="0" xr:uid="{F85592B0-F6EA-438E-98C4-03143ECE29A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26" authorId="43" shapeId="0" xr:uid="{D8BC2131-A8B0-4100-99E8-727B8C3453D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G26" authorId="44" shapeId="0" xr:uid="{D3992E14-7C36-4065-963A-ECFAEC54D8B5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</t>
      </text>
    </comment>
    <comment ref="H26" authorId="45" shapeId="0" xr:uid="{94A1515C-E781-481C-8784-4AA1D9A269A6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</t>
      </text>
    </comment>
    <comment ref="I26" authorId="46" shapeId="0" xr:uid="{933E53F6-1EC1-437D-BC39-93003F9700E2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</t>
      </text>
    </comment>
    <comment ref="K26" authorId="47" shapeId="0" xr:uid="{52DBF580-470A-49BE-910B-0338B680A418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</t>
      </text>
    </comment>
    <comment ref="D27" authorId="48" shapeId="0" xr:uid="{D02356E9-EE93-44F9-9D31-33C6277F022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28" authorId="49" shapeId="0" xr:uid="{1EC4BE96-3DA0-4EC6-A79B-CE0097777B9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7 anni, se con rottam fino a Euro 4 sono esenti per 8 anni</t>
      </text>
    </comment>
    <comment ref="H28" authorId="50" shapeId="0" xr:uid="{CD265E89-72B0-483B-8032-B11F098E707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Con rottamazione fino a Euro 4 sono esenti per 2 anni</t>
      </text>
    </comment>
    <comment ref="J28" authorId="51" shapeId="0" xr:uid="{1ACE2EDC-D043-4780-B659-8FF157E067F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7 anni, se con rottam fino a Euro 4 sono esenti per 8 anni</t>
      </text>
    </comment>
    <comment ref="K28" authorId="52" shapeId="0" xr:uid="{20690B02-1467-417A-AA2C-082EDCABE28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3 anni</t>
      </text>
    </comment>
    <comment ref="D29" authorId="53" shapeId="0" xr:uid="{7E1EF672-DF7E-412C-A864-1AD1FED4233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30" authorId="54" shapeId="0" xr:uid="{71C91FFA-BA85-42EA-AE74-6CBECB0C278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31" authorId="55" shapeId="0" xr:uid="{3279CB00-150A-41A3-BABC-486ED5F115C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B32" authorId="56" shapeId="0" xr:uid="{2CF796DD-B6F4-4C1D-8F8C-12F465E61F42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Per Euro 0 e ! Maggioraz del 10%
</t>
      </text>
    </comment>
    <comment ref="D32" authorId="57" shapeId="0" xr:uid="{61A93DDF-AC0A-46FD-A887-03BFF340FF51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</t>
      </text>
    </comment>
    <comment ref="H32" authorId="58" shapeId="0" xr:uid="{A6B638EC-8DA2-4B26-876B-DCABB678E35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5+2</t>
      </text>
    </comment>
    <comment ref="I32" authorId="59" shapeId="0" xr:uid="{DDE60486-6F73-4B99-B535-50D38EE546E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5+2</t>
      </text>
    </comment>
    <comment ref="D34" authorId="60" shapeId="0" xr:uid="{5632FA88-A04A-487E-BCC2-3A49E7513FE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35" authorId="61" shapeId="0" xr:uid="{90D699A3-FF5A-4569-92F2-F188AFC3B76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G36" authorId="62" shapeId="0" xr:uid="{0CBB3378-118F-49DC-A5C8-46BB20F4F2A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Esente 5 anni poi paga 2.58</t>
      </text>
    </comment>
    <comment ref="H36" authorId="63" shapeId="0" xr:uid="{A54C6284-C813-4D01-A990-56C7AD5A1C5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Esente 5 anni fino a 100 kW</t>
      </text>
    </comment>
    <comment ref="I36" authorId="64" shapeId="0" xr:uid="{DF1EEA96-280F-4FA8-8388-BDFA0952159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Esente 5 anni fino a 100 kW</t>
      </text>
    </comment>
    <comment ref="D38" authorId="65" shapeId="0" xr:uid="{DC370879-799F-4115-B190-BD8F2D57674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39" authorId="66" shapeId="0" xr:uid="{0CDF3F8A-26A9-457F-B503-4121A28395A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E39" authorId="67" shapeId="0" xr:uid="{5BA15BEC-ECC3-4167-B222-830DAADFD22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F39" authorId="68" shapeId="0" xr:uid="{62C1AD97-AF69-4B88-8514-645119AC14A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G39" authorId="69" shapeId="0" xr:uid="{B08C323E-14CF-4A54-B006-2BD38DDEF64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H39" authorId="70" shapeId="0" xr:uid="{57D9A548-107E-4E7D-B5D0-9A3C81DB24D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I39" authorId="71" shapeId="0" xr:uid="{11BA6329-4E7B-423F-9282-3E8E60E3E60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J39" authorId="72" shapeId="0" xr:uid="{58C19300-E4DE-474B-928A-C5DF46613F3E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</t>
      </text>
    </comment>
    <comment ref="D40" authorId="73" shapeId="0" xr:uid="{8E84687A-62D1-4702-B587-6934EAB3029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41" authorId="74" shapeId="0" xr:uid="{3684C7E4-70EF-4DB1-BC51-4B3E993CC12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H41" authorId="75" shapeId="0" xr:uid="{9360C3A9-1828-4459-AEBC-2B5D99FF644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3 anni</t>
      </text>
    </comment>
    <comment ref="I41" authorId="76" shapeId="0" xr:uid="{657FEC57-2821-44CB-84B8-63736364F8A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3 anni</t>
      </text>
    </comment>
    <comment ref="J41" authorId="77" shapeId="0" xr:uid="{191BF93C-CB4B-4EF4-A2B0-0153E2E894C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3 anni</t>
      </text>
    </comment>
    <comment ref="D42" authorId="78" shapeId="0" xr:uid="{F34033C0-298B-4ED0-A2FE-4000A421700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43" authorId="79" shapeId="0" xr:uid="{8FAEAA7E-D81B-4CCC-89BC-DA01FBD5B83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44" authorId="80" shapeId="0" xr:uid="{7225E9C1-8221-4F92-A153-5A7582B716D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D45" authorId="81" shapeId="0" xr:uid="{B394CA2D-D501-46D5-9151-7CB0B4A63EA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 per 5 anni e poi paga 1/4</t>
      </text>
    </comment>
    <comment ref="H45" authorId="82" shapeId="0" xr:uid="{D5AAEF2F-6F61-493F-A1A8-D50FEEE54A6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3 anni</t>
      </text>
    </comment>
    <comment ref="I45" authorId="83" shapeId="0" xr:uid="{A2510029-BF6D-48B2-A610-3B300714F38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Esenti per 3 anni</t>
      </text>
    </comment>
  </commentList>
</comments>
</file>

<file path=xl/sharedStrings.xml><?xml version="1.0" encoding="utf-8"?>
<sst xmlns="http://schemas.openxmlformats.org/spreadsheetml/2006/main" count="139" uniqueCount="61">
  <si>
    <t>Regione</t>
  </si>
  <si>
    <t>Euro 6</t>
  </si>
  <si>
    <t>elettrico</t>
  </si>
  <si>
    <t>GPL</t>
  </si>
  <si>
    <t>Metano</t>
  </si>
  <si>
    <t>Elettr/benz</t>
  </si>
  <si>
    <t>Elettr/Gasol</t>
  </si>
  <si>
    <t>Benz/GPL</t>
  </si>
  <si>
    <t>idrogeno</t>
  </si>
  <si>
    <t>benzina/idrogeno</t>
  </si>
  <si>
    <t>Abruzzo</t>
  </si>
  <si>
    <t>Basilicata</t>
  </si>
  <si>
    <t>Calabria</t>
  </si>
  <si>
    <t>Campania</t>
  </si>
  <si>
    <t>Emilia Romagna</t>
  </si>
  <si>
    <t>Friuli V. Giuli</t>
  </si>
  <si>
    <t>Lazio</t>
  </si>
  <si>
    <t>Liguria</t>
  </si>
  <si>
    <t>Lombardia</t>
  </si>
  <si>
    <t>Marche</t>
  </si>
  <si>
    <t>Molise</t>
  </si>
  <si>
    <t>Piemonte</t>
  </si>
  <si>
    <t>Prov. Bolzano</t>
  </si>
  <si>
    <t>Prov. Trento</t>
  </si>
  <si>
    <t>Puglia</t>
  </si>
  <si>
    <t>Sardegna</t>
  </si>
  <si>
    <t>Sicilia</t>
  </si>
  <si>
    <t>Toscana</t>
  </si>
  <si>
    <t>Umbria</t>
  </si>
  <si>
    <t>Valle d'Aost</t>
  </si>
  <si>
    <t>Veneto</t>
  </si>
  <si>
    <t>https://www.aci.it/fileadmin/documenti/per_circolare/guida_al_bollo/tariffari_2024/Abruzzo_-_2024_v1.pdf</t>
  </si>
  <si>
    <t>https://www.regione.basilicata.it/giuntacma//files/docs/DOCUMENT_FILE_3102311.pdf</t>
  </si>
  <si>
    <t>Prov. Autonoma Bolzano</t>
  </si>
  <si>
    <t>https://www.aci.it/fileadmin/documenti/per_circolare/guida_al_bollo/tariffari_2024/Bolzano_Italiano_-_2024_v4_07022024.pdf</t>
  </si>
  <si>
    <t>https://tributi.regione.calabria.it/en/web/guest/quantota</t>
  </si>
  <si>
    <t>https://entrate.regione.campania.it/documents/20121/46475/TARIFFARIO_2024.pdf/a8aa5ed0-9bc8-04ec-f42f-7ff29eb22261?t=1705488934641</t>
  </si>
  <si>
    <t>Emilia Rom</t>
  </si>
  <si>
    <t>https://www.aci.it/fileadmin/documenti/per_circolare/guida_al_bollo/tariffari_2024/Emilia_Romagna_-_2024_v3_04012024.pdf</t>
  </si>
  <si>
    <t>Friuli V.G.</t>
  </si>
  <si>
    <t>https://www.aci.it/fileadmin/documenti/per_circolare/guida_al_bollo/tariffari_2024/Friuli_e_Sardegna_-2024_v1_15012024.pdf</t>
  </si>
  <si>
    <t>https://www.aci.it/fileadmin/documenti/per_circolare/guida_al_bollo/tariffari_2024/Lazio_-_2024_v1_04012024.pdf</t>
  </si>
  <si>
    <t>https://servizi.regione.liguria.it/page/welcome/BOLLO_AUTO</t>
  </si>
  <si>
    <t>https://www.aci.it/fileadmin/documenti/per_circolare/guida_al_bollo/tariffari_2024/Tariffario_Lombardia_2024-19022024.pdf</t>
  </si>
  <si>
    <t>https://www.regione.marche.it/Regione-Utile/Finanze/Tassa-Automobilistica#Quanto-si-paga</t>
  </si>
  <si>
    <t>https://www.regione.molise.it/flex/cm/pages/ServeBLOB.php/L/IT/IDPagina/362</t>
  </si>
  <si>
    <t>https://www.regione.piemonte.it/web/temi/tributi/tassa-automobilistica-bollo-auto/benefici-per-veicoli-doppia-alimentazione-anno-pagamento-2024#</t>
  </si>
  <si>
    <t>https://www.aci.it/fileadmin/documenti/per_circolare/guida_al_bollo/tariffari_2024/Puglia_-_2024_v1.pdf</t>
  </si>
  <si>
    <t>https://www.aci.it/fileadmin/documenti/per_circolare/guida_al_bollo/tariffari_2024/Sicilia_-_2024_v1.pdf</t>
  </si>
  <si>
    <t>https://www.aci.it/fileadmin/documenti/per_circolare/guida_al_bollo/tariffari_2024/Toscana_-_2024_v1.pdf</t>
  </si>
  <si>
    <t>Prov. Aut Trento</t>
  </si>
  <si>
    <t>https://www.aci.it/fileadmin/documenti/per_circolare/guida_al_bollo/tariffari_2024/Trento_-_2024_v1_08012024.pdf</t>
  </si>
  <si>
    <t>https://www.aci.it/fileadmin/documenti/per_circolare/guida_al_bollo/tariffari_2024/Umbria_-_2024__v3.pptx_12012024.pdf</t>
  </si>
  <si>
    <t>VdA</t>
  </si>
  <si>
    <t>https://www.aci.it/i-servizi/guide-utili/guida-al-bollo-auto/regioni-e-province-autonome-convenzionate-con-aci/regione-autonoma-valle-daosta.html</t>
  </si>
  <si>
    <t>https://www.regione.veneto.it/web/tributi-regionali/quanto-pagare</t>
  </si>
  <si>
    <t>Italia</t>
  </si>
  <si>
    <t>https://www.aci.it/fileadmin/documenti/per_circolare/guida_al_bollo/tariffari_2024/Guida_bollo_auto_2024_04012024.pdf</t>
  </si>
  <si>
    <t>TUTTE LE SCHEDE SONO STATE VISIONATE IL GIORNO 25/03/2024</t>
  </si>
  <si>
    <t>&lt; 100 kW</t>
  </si>
  <si>
    <t>&gt; = 100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</si>
</sst>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/>
    <xf numFmtId="9" fontId="0" fillId="0" borderId="0" xfId="0" applyNumberFormat="1"/>
    <xf numFmtId="2" fontId="0" fillId="0" borderId="0" xfId="0" applyNumberFormat="1"/>
    <xf numFmtId="0" fontId="3" fillId="0" borderId="0" xfId="1"/>
    <xf numFmtId="0" fontId="4" fillId="0" borderId="0" xfId="0" applyFont="1"/>
    <xf numFmtId="0" fontId="5" fillId="0" borderId="0" xfId="1" applyFont="1"/>
    <xf numFmtId="43" fontId="0" fillId="0" borderId="0" xfId="2" applyFont="1" applyAlignment="1">
      <alignment horizontal="center"/>
    </xf>
    <xf numFmtId="43" fontId="0" fillId="0" borderId="0" xfId="0" applyNumberFormat="1"/>
    <xf numFmtId="43" fontId="0" fillId="0" borderId="0" xfId="2" applyFont="1"/>
    <xf numFmtId="43" fontId="6" fillId="0" borderId="0" xfId="2" applyFont="1"/>
    <xf numFmtId="0" fontId="0" fillId="0" borderId="0" xfId="0" applyFont="1"/>
  </cellXfs>
  <cellStyles count="3">
    <cellStyle name="Collegamento ipertestuale" xfId="1" builtinId="8"/>
    <cellStyle name="Migliaia" xfId="2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lvia Orchi" id="{3BC504BB-E652-442B-B90F-D4ADB719C730}" userId="S::silvia.orchi@enea.it::ed01e318-8042-4743-bc18-4b6d9131a71b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03-21T12:40:47.49" personId="{3BC504BB-E652-442B-B90F-D4ADB719C730}" id="{3307C452-0779-44FF-ADE2-540C3036C7D8}">
    <text>Esenti  per 5 anni e poi paga 1/4</text>
  </threadedComment>
  <threadedComment ref="D4" dT="2024-03-21T12:40:47.49" personId="{3BC504BB-E652-442B-B90F-D4ADB719C730}" id="{C934124B-FA90-432A-9251-86A76CE1BEA9}">
    <text>Esenti  per 5 anni e poi paga 1/4</text>
  </threadedComment>
  <threadedComment ref="G4" dT="2024-03-21T12:40:47.49" personId="{3BC504BB-E652-442B-B90F-D4ADB719C730}" id="{10813DC6-8F67-4937-A422-46448FB9B62B}">
    <text xml:space="preserve">Esenti  per 5 anni </text>
  </threadedComment>
  <threadedComment ref="H4" dT="2024-03-21T12:40:47.49" personId="{3BC504BB-E652-442B-B90F-D4ADB719C730}" id="{6C4A623D-CDA3-4902-AA95-344E2FC57953}">
    <text xml:space="preserve">Esenti  per 5 anni </text>
  </threadedComment>
  <threadedComment ref="I4" dT="2024-03-21T12:40:47.49" personId="{3BC504BB-E652-442B-B90F-D4ADB719C730}" id="{7F8F5135-BFF5-41D1-AD04-5E5068629969}">
    <text xml:space="preserve">Esenti  per 5 anni </text>
  </threadedComment>
  <threadedComment ref="K4" dT="2024-03-21T12:40:47.49" personId="{3BC504BB-E652-442B-B90F-D4ADB719C730}" id="{F1D18065-CCBE-4F0C-A6F5-8DC9CC8D8DE4}">
    <text xml:space="preserve">Esenti  per 5 anni </text>
  </threadedComment>
  <threadedComment ref="D5" dT="2024-03-21T12:40:47.49" personId="{3BC504BB-E652-442B-B90F-D4ADB719C730}" id="{E0803365-26C8-4A74-8F98-4F226D07778A}">
    <text>Esenti  per 5 anni e poi paga 1/4</text>
  </threadedComment>
  <threadedComment ref="D6" dT="2024-03-21T12:40:47.49" personId="{3BC504BB-E652-442B-B90F-D4ADB719C730}" id="{7E2A5682-DB46-442D-9BA9-F03BEE14B334}">
    <text>Esenti  per 7 anni, se con rottam fino a Euro 4 sono esenti per 8 anni</text>
  </threadedComment>
  <threadedComment ref="H6" dT="2024-03-21T12:40:47.49" personId="{3BC504BB-E652-442B-B90F-D4ADB719C730}" id="{C74A6EED-DD5C-44C0-9C3E-BB2B9A3EEE5E}">
    <text>Con rottamazione fino a Euro 4 sono esenti per 2 anni</text>
  </threadedComment>
  <threadedComment ref="J6" dT="2024-03-21T12:40:47.49" personId="{3BC504BB-E652-442B-B90F-D4ADB719C730}" id="{AD18AB43-5FA3-44CA-ABFB-63D207A1FC55}">
    <text>Esenti  per 7 anni, se con rottam fino a Euro 4 sono esenti per 8 anni</text>
  </threadedComment>
  <threadedComment ref="K6" dT="2024-03-21T12:40:47.49" personId="{3BC504BB-E652-442B-B90F-D4ADB719C730}" id="{0469FE4E-58E8-436B-8D0E-64400187FBF9}">
    <text>Esenti  per 3 anni</text>
  </threadedComment>
  <threadedComment ref="D7" dT="2024-03-21T12:40:47.49" personId="{3BC504BB-E652-442B-B90F-D4ADB719C730}" id="{07B55D0F-D41C-48DD-9E7C-52F94F8B8EFF}">
    <text>Esenti  per 5 anni e poi paga 1/4</text>
  </threadedComment>
  <threadedComment ref="D8" dT="2024-03-21T12:40:47.49" personId="{3BC504BB-E652-442B-B90F-D4ADB719C730}" id="{A204209E-C2B6-4820-BE4D-3DAE111E480F}">
    <text>Esenti  per 5 anni e poi paga 1/4</text>
  </threadedComment>
  <threadedComment ref="D9" dT="2024-03-21T12:40:47.49" personId="{3BC504BB-E652-442B-B90F-D4ADB719C730}" id="{99AC96D2-005F-4B7A-8889-906EE99164E5}">
    <text>Esenti  per 5 anni e poi paga 1/4</text>
  </threadedComment>
  <threadedComment ref="B10" dT="2024-03-21T09:42:09.61" personId="{3BC504BB-E652-442B-B90F-D4ADB719C730}" id="{EC23446A-8757-4C5C-A531-2B1A99ED3E55}">
    <text xml:space="preserve">Per Euro 0 e ! Maggioraz del 10%
</text>
  </threadedComment>
  <threadedComment ref="D10" dT="2024-03-21T12:40:47.49" personId="{3BC504BB-E652-442B-B90F-D4ADB719C730}" id="{DDBEA887-A3C7-433F-90B6-249CA8D847E6}">
    <text xml:space="preserve">Esenti  per 5 anni </text>
  </threadedComment>
  <threadedComment ref="H10" dT="2024-03-21T13:21:33.11" personId="{3BC504BB-E652-442B-B90F-D4ADB719C730}" id="{C5059562-4FD1-4A4C-87A4-F6281E58F208}">
    <text>Esenti per 5+2</text>
  </threadedComment>
  <threadedComment ref="I10" dT="2024-03-21T13:21:33.11" personId="{3BC504BB-E652-442B-B90F-D4ADB719C730}" id="{D0A15309-C7D1-4BF7-B273-94DA21F9DC3B}">
    <text>Esenti per 5+2</text>
  </threadedComment>
  <threadedComment ref="D12" dT="2024-03-21T12:40:47.49" personId="{3BC504BB-E652-442B-B90F-D4ADB719C730}" id="{CE4540C8-47B1-45C6-B612-09E778BFE6D6}">
    <text>Esenti  per 5 anni e poi paga 1/4</text>
  </threadedComment>
  <threadedComment ref="D13" dT="2024-03-21T12:40:47.49" personId="{3BC504BB-E652-442B-B90F-D4ADB719C730}" id="{C2B4AB6C-2A75-4A44-9B30-14A0CB6861DE}">
    <text>Esenti  per 5 anni e poi paga 1/4</text>
  </threadedComment>
  <threadedComment ref="G14" dT="2024-03-21T14:31:01.27" personId="{3BC504BB-E652-442B-B90F-D4ADB719C730}" id="{C32BCF2F-4EE6-41D5-AD96-731EF04B69D4}">
    <text>Esente 5 anni poi paga 2.58</text>
  </threadedComment>
  <threadedComment ref="H14" dT="2024-03-21T14:31:01.27" personId="{3BC504BB-E652-442B-B90F-D4ADB719C730}" id="{56667021-3560-4710-A3F2-0F7D8DA06F51}">
    <text>Esente 5 anni fino a 100 kW</text>
  </threadedComment>
  <threadedComment ref="I14" dT="2024-03-21T14:31:01.27" personId="{3BC504BB-E652-442B-B90F-D4ADB719C730}" id="{B7F13AEA-8DC3-4CCB-8957-0C5B4AD35A7A}">
    <text>Esente 5 anni fino a 100 kW</text>
  </threadedComment>
  <threadedComment ref="D16" dT="2024-03-21T12:40:47.49" personId="{3BC504BB-E652-442B-B90F-D4ADB719C730}" id="{CAD5198F-96A6-46F2-8887-733BB3E26460}">
    <text>Esenti  per 5 anni e poi paga 1/4</text>
  </threadedComment>
  <threadedComment ref="D17" dT="2024-03-21T12:40:47.49" personId="{3BC504BB-E652-442B-B90F-D4ADB719C730}" id="{FC963531-155B-4CE0-8219-62181C37F0A1}">
    <text>Esenti  per 5 anni e poi paga 1/4</text>
  </threadedComment>
  <threadedComment ref="E17" dT="2024-03-21T12:40:47.49" personId="{3BC504BB-E652-442B-B90F-D4ADB719C730}" id="{3B4856A8-EBB0-4F95-81EE-201EDAA61864}">
    <text>Esenti  per 5 anni e poi paga 1/4</text>
  </threadedComment>
  <threadedComment ref="F17" dT="2024-03-21T12:40:47.49" personId="{3BC504BB-E652-442B-B90F-D4ADB719C730}" id="{BEEC7071-433E-49CE-8E66-17F9B4CE4A13}">
    <text>Esenti  per 5 anni e poi paga 1/4</text>
  </threadedComment>
  <threadedComment ref="G17" dT="2024-03-21T12:40:47.49" personId="{3BC504BB-E652-442B-B90F-D4ADB719C730}" id="{9B6322F5-DB43-47F0-A613-CF1BAF36D4C0}">
    <text>Esenti  per 5 anni e poi paga 1/4</text>
  </threadedComment>
  <threadedComment ref="H17" dT="2024-03-21T12:40:47.49" personId="{3BC504BB-E652-442B-B90F-D4ADB719C730}" id="{56FFE511-B7F1-4EC2-8A88-9149D035075B}">
    <text>Esenti  per 5 anni e poi paga 1/4</text>
  </threadedComment>
  <threadedComment ref="I17" dT="2024-03-21T12:40:47.49" personId="{3BC504BB-E652-442B-B90F-D4ADB719C730}" id="{5E2FBEC5-8FD9-433A-9C24-28BBA873AC63}">
    <text>Esenti  per 5 anni e poi paga 1/4</text>
  </threadedComment>
  <threadedComment ref="J17" dT="2024-03-21T12:40:47.49" personId="{3BC504BB-E652-442B-B90F-D4ADB719C730}" id="{31C2C7C0-58C1-4CCC-8CFE-DCADCCAE1D7D}">
    <text xml:space="preserve">Esenti  per 5 anni </text>
  </threadedComment>
  <threadedComment ref="D18" dT="2024-03-21T12:40:47.49" personId="{3BC504BB-E652-442B-B90F-D4ADB719C730}" id="{EBE78A88-27E1-4049-8198-F28960E60E26}">
    <text>Esenti  per 5 anni e poi paga 1/4</text>
  </threadedComment>
  <threadedComment ref="D19" dT="2024-03-21T12:40:47.49" personId="{3BC504BB-E652-442B-B90F-D4ADB719C730}" id="{4F65B834-3B09-49FE-AB2D-84EA029FEE1A}">
    <text>Esenti  per 5 anni e poi paga 1/4</text>
  </threadedComment>
  <threadedComment ref="H19" dT="2024-03-21T13:33:01.54" personId="{3BC504BB-E652-442B-B90F-D4ADB719C730}" id="{B54AB8FE-B564-44B4-B94F-7F8599905140}">
    <text>Esenti per 3 anni</text>
  </threadedComment>
  <threadedComment ref="I19" dT="2024-03-21T13:33:01.54" personId="{3BC504BB-E652-442B-B90F-D4ADB719C730}" id="{7506550A-E57C-4579-8EC0-6EBC26F92AEC}">
    <text>Esenti per 3 anni</text>
  </threadedComment>
  <threadedComment ref="J19" dT="2024-03-21T13:33:01.54" personId="{3BC504BB-E652-442B-B90F-D4ADB719C730}" id="{302BEC2F-F447-4107-81CC-B49BE3C5E04D}">
    <text>Esenti per 3 anni</text>
  </threadedComment>
  <threadedComment ref="D20" dT="2024-03-21T12:40:47.49" personId="{3BC504BB-E652-442B-B90F-D4ADB719C730}" id="{1899EB03-5B13-446F-980D-16C50CFF1488}">
    <text>Esenti  per 5 anni e poi paga 1/4</text>
  </threadedComment>
  <threadedComment ref="D21" dT="2024-03-21T12:40:47.49" personId="{3BC504BB-E652-442B-B90F-D4ADB719C730}" id="{49543A97-4BC1-4DDA-BCC5-3E923325C576}">
    <text>Esenti  per 5 anni e poi paga 1/4</text>
  </threadedComment>
  <threadedComment ref="D22" dT="2024-03-21T12:40:47.49" personId="{3BC504BB-E652-442B-B90F-D4ADB719C730}" id="{AEF2CCC3-463E-4F13-8CC4-D3241180ED16}">
    <text>Esenti  per 5 anni e poi paga 1/4</text>
  </threadedComment>
  <threadedComment ref="D23" dT="2024-03-21T12:40:47.49" personId="{3BC504BB-E652-442B-B90F-D4ADB719C730}" id="{AFE2F96A-DFAA-48FD-A1C2-FCEB1DEA38AD}">
    <text>Esenti  per 5 anni e poi paga 1/4</text>
  </threadedComment>
  <threadedComment ref="H23" dT="2024-03-21T13:33:01.54" personId="{3BC504BB-E652-442B-B90F-D4ADB719C730}" id="{EF7B6D4A-8452-4528-BA87-0562249141CB}">
    <text>Esenti per 3 anni</text>
  </threadedComment>
  <threadedComment ref="I23" dT="2024-03-21T13:33:01.54" personId="{3BC504BB-E652-442B-B90F-D4ADB719C730}" id="{A1BFF7C7-EBFB-4D49-8243-EDB9E23CF1D5}">
    <text>Esenti per 3 anni</text>
  </threadedComment>
  <threadedComment ref="D25" dT="2024-03-21T12:40:47.49" personId="{3BC504BB-E652-442B-B90F-D4ADB719C730}" id="{F85592B0-F6EA-438E-98C4-03143ECE29AD}">
    <text>Esenti  per 5 anni e poi paga 1/4</text>
  </threadedComment>
  <threadedComment ref="D26" dT="2024-03-21T12:40:47.49" personId="{3BC504BB-E652-442B-B90F-D4ADB719C730}" id="{D8BC2131-A8B0-4100-99E8-727B8C3453D0}">
    <text>Esenti  per 5 anni e poi paga 1/4</text>
  </threadedComment>
  <threadedComment ref="G26" dT="2024-03-21T12:40:47.49" personId="{3BC504BB-E652-442B-B90F-D4ADB719C730}" id="{D3992E14-7C36-4065-963A-ECFAEC54D8B5}">
    <text xml:space="preserve">Esenti  per 5 anni </text>
  </threadedComment>
  <threadedComment ref="H26" dT="2024-03-21T12:40:47.49" personId="{3BC504BB-E652-442B-B90F-D4ADB719C730}" id="{94A1515C-E781-481C-8784-4AA1D9A269A6}">
    <text xml:space="preserve">Esenti  per 5 anni </text>
  </threadedComment>
  <threadedComment ref="I26" dT="2024-03-21T12:40:47.49" personId="{3BC504BB-E652-442B-B90F-D4ADB719C730}" id="{933E53F6-1EC1-437D-BC39-93003F9700E2}">
    <text xml:space="preserve">Esenti  per 5 anni </text>
  </threadedComment>
  <threadedComment ref="K26" dT="2024-03-21T12:40:47.49" personId="{3BC504BB-E652-442B-B90F-D4ADB719C730}" id="{52DBF580-470A-49BE-910B-0338B680A418}">
    <text xml:space="preserve">Esenti  per 5 anni </text>
  </threadedComment>
  <threadedComment ref="D27" dT="2024-03-21T12:40:47.49" personId="{3BC504BB-E652-442B-B90F-D4ADB719C730}" id="{D02356E9-EE93-44F9-9D31-33C6277F0225}">
    <text>Esenti  per 5 anni e poi paga 1/4</text>
  </threadedComment>
  <threadedComment ref="D28" dT="2024-03-21T12:40:47.49" personId="{3BC504BB-E652-442B-B90F-D4ADB719C730}" id="{1EC4BE96-3DA0-4EC6-A79B-CE0097777B9E}">
    <text>Esenti  per 7 anni, se con rottam fino a Euro 4 sono esenti per 8 anni</text>
  </threadedComment>
  <threadedComment ref="H28" dT="2024-03-21T12:40:47.49" personId="{3BC504BB-E652-442B-B90F-D4ADB719C730}" id="{CD265E89-72B0-483B-8032-B11F098E7076}">
    <text>Con rottamazione fino a Euro 4 sono esenti per 2 anni</text>
  </threadedComment>
  <threadedComment ref="J28" dT="2024-03-21T12:40:47.49" personId="{3BC504BB-E652-442B-B90F-D4ADB719C730}" id="{1ACE2EDC-D043-4780-B659-8FF157E067F2}">
    <text>Esenti  per 7 anni, se con rottam fino a Euro 4 sono esenti per 8 anni</text>
  </threadedComment>
  <threadedComment ref="K28" dT="2024-03-21T12:40:47.49" personId="{3BC504BB-E652-442B-B90F-D4ADB719C730}" id="{20690B02-1467-417A-AA2C-082EDCABE28D}">
    <text>Esenti  per 3 anni</text>
  </threadedComment>
  <threadedComment ref="D29" dT="2024-03-21T12:40:47.49" personId="{3BC504BB-E652-442B-B90F-D4ADB719C730}" id="{7E1EF672-DF7E-412C-A864-1AD1FED4233A}">
    <text>Esenti  per 5 anni e poi paga 1/4</text>
  </threadedComment>
  <threadedComment ref="D30" dT="2024-03-21T12:40:47.49" personId="{3BC504BB-E652-442B-B90F-D4ADB719C730}" id="{71C91FFA-BA85-42EA-AE74-6CBECB0C278C}">
    <text>Esenti  per 5 anni e poi paga 1/4</text>
  </threadedComment>
  <threadedComment ref="D31" dT="2024-03-21T12:40:47.49" personId="{3BC504BB-E652-442B-B90F-D4ADB719C730}" id="{3279CB00-150A-41A3-BABC-486ED5F115CC}">
    <text>Esenti  per 5 anni e poi paga 1/4</text>
  </threadedComment>
  <threadedComment ref="B32" dT="2024-03-21T09:42:09.61" personId="{3BC504BB-E652-442B-B90F-D4ADB719C730}" id="{2CF796DD-B6F4-4C1D-8F8C-12F465E61F42}">
    <text xml:space="preserve">Per Euro 0 e ! Maggioraz del 10%
</text>
  </threadedComment>
  <threadedComment ref="D32" dT="2024-03-21T12:40:47.49" personId="{3BC504BB-E652-442B-B90F-D4ADB719C730}" id="{61A93DDF-AC0A-46FD-A887-03BFF340FF51}">
    <text xml:space="preserve">Esenti  per 5 anni </text>
  </threadedComment>
  <threadedComment ref="H32" dT="2024-03-21T13:21:33.11" personId="{3BC504BB-E652-442B-B90F-D4ADB719C730}" id="{A6B638EC-8DA2-4B26-876B-DCABB678E355}">
    <text>Esenti per 5+2</text>
  </threadedComment>
  <threadedComment ref="I32" dT="2024-03-21T13:21:33.11" personId="{3BC504BB-E652-442B-B90F-D4ADB719C730}" id="{DDE60486-6F73-4B99-B535-50D38EE546E3}">
    <text>Esenti per 5+2</text>
  </threadedComment>
  <threadedComment ref="D34" dT="2024-03-21T12:40:47.49" personId="{3BC504BB-E652-442B-B90F-D4ADB719C730}" id="{5632FA88-A04A-487E-BCC2-3A49E7513FE8}">
    <text>Esenti  per 5 anni e poi paga 1/4</text>
  </threadedComment>
  <threadedComment ref="D35" dT="2024-03-21T12:40:47.49" personId="{3BC504BB-E652-442B-B90F-D4ADB719C730}" id="{90D699A3-FF5A-4569-92F2-F188AFC3B76D}">
    <text>Esenti  per 5 anni e poi paga 1/4</text>
  </threadedComment>
  <threadedComment ref="G36" dT="2024-03-21T14:31:01.27" personId="{3BC504BB-E652-442B-B90F-D4ADB719C730}" id="{0CBB3378-118F-49DC-A5C8-46BB20F4F2A8}">
    <text>Esente 5 anni poi paga 2.58</text>
  </threadedComment>
  <threadedComment ref="H36" dT="2024-03-21T14:31:01.27" personId="{3BC504BB-E652-442B-B90F-D4ADB719C730}" id="{A54C6284-C813-4D01-A990-56C7AD5A1C56}">
    <text>Esente 5 anni fino a 100 kW</text>
  </threadedComment>
  <threadedComment ref="I36" dT="2024-03-21T14:31:01.27" personId="{3BC504BB-E652-442B-B90F-D4ADB719C730}" id="{DF1EEA96-280F-4FA8-8388-BDFA09521593}">
    <text>Esente 5 anni fino a 100 kW</text>
  </threadedComment>
  <threadedComment ref="D38" dT="2024-03-21T12:40:47.49" personId="{3BC504BB-E652-442B-B90F-D4ADB719C730}" id="{DC370879-799F-4115-B190-BD8F2D576741}">
    <text>Esenti  per 5 anni e poi paga 1/4</text>
  </threadedComment>
  <threadedComment ref="D39" dT="2024-03-21T12:40:47.49" personId="{3BC504BB-E652-442B-B90F-D4ADB719C730}" id="{0CDF3F8A-26A9-457F-B503-4121A28395AD}">
    <text>Esenti  per 5 anni e poi paga 1/4</text>
  </threadedComment>
  <threadedComment ref="E39" dT="2024-03-21T12:40:47.49" personId="{3BC504BB-E652-442B-B90F-D4ADB719C730}" id="{5BA15BEC-ECC3-4167-B222-830DAADFD225}">
    <text>Esenti  per 5 anni e poi paga 1/4</text>
  </threadedComment>
  <threadedComment ref="F39" dT="2024-03-21T12:40:47.49" personId="{3BC504BB-E652-442B-B90F-D4ADB719C730}" id="{62C1AD97-AF69-4B88-8514-645119AC14AD}">
    <text>Esenti  per 5 anni e poi paga 1/4</text>
  </threadedComment>
  <threadedComment ref="G39" dT="2024-03-21T12:40:47.49" personId="{3BC504BB-E652-442B-B90F-D4ADB719C730}" id="{B08C323E-14CF-4A54-B006-2BD38DDEF649}">
    <text>Esenti  per 5 anni e poi paga 1/4</text>
  </threadedComment>
  <threadedComment ref="H39" dT="2024-03-21T12:40:47.49" personId="{3BC504BB-E652-442B-B90F-D4ADB719C730}" id="{57D9A548-107E-4E7D-B5D0-9A3C81DB24DD}">
    <text>Esenti  per 5 anni e poi paga 1/4</text>
  </threadedComment>
  <threadedComment ref="I39" dT="2024-03-21T12:40:47.49" personId="{3BC504BB-E652-442B-B90F-D4ADB719C730}" id="{11BA6329-4E7B-423F-9282-3E8E60E3E601}">
    <text>Esenti  per 5 anni e poi paga 1/4</text>
  </threadedComment>
  <threadedComment ref="J39" dT="2024-03-21T12:40:47.49" personId="{3BC504BB-E652-442B-B90F-D4ADB719C730}" id="{58C19300-E4DE-474B-928A-C5DF46613F3E}">
    <text xml:space="preserve">Esenti  per 5 anni </text>
  </threadedComment>
  <threadedComment ref="D40" dT="2024-03-21T12:40:47.49" personId="{3BC504BB-E652-442B-B90F-D4ADB719C730}" id="{8E84687A-62D1-4702-B587-6934EAB30299}">
    <text>Esenti  per 5 anni e poi paga 1/4</text>
  </threadedComment>
  <threadedComment ref="D41" dT="2024-03-21T12:40:47.49" personId="{3BC504BB-E652-442B-B90F-D4ADB719C730}" id="{3684C7E4-70EF-4DB1-BC51-4B3E993CC127}">
    <text>Esenti  per 5 anni e poi paga 1/4</text>
  </threadedComment>
  <threadedComment ref="H41" dT="2024-03-21T13:33:01.54" personId="{3BC504BB-E652-442B-B90F-D4ADB719C730}" id="{9360C3A9-1828-4459-AEBC-2B5D99FF6447}">
    <text>Esenti per 3 anni</text>
  </threadedComment>
  <threadedComment ref="I41" dT="2024-03-21T13:33:01.54" personId="{3BC504BB-E652-442B-B90F-D4ADB719C730}" id="{657FEC57-2821-44CB-84B8-63736364F8AB}">
    <text>Esenti per 3 anni</text>
  </threadedComment>
  <threadedComment ref="J41" dT="2024-03-21T13:33:01.54" personId="{3BC504BB-E652-442B-B90F-D4ADB719C730}" id="{191BF93C-CB4B-4EF4-A2B0-0153E2E894C4}">
    <text>Esenti per 3 anni</text>
  </threadedComment>
  <threadedComment ref="D42" dT="2024-03-21T12:40:47.49" personId="{3BC504BB-E652-442B-B90F-D4ADB719C730}" id="{F34033C0-298B-4ED0-A2FE-4000A4217003}">
    <text>Esenti  per 5 anni e poi paga 1/4</text>
  </threadedComment>
  <threadedComment ref="D43" dT="2024-03-21T12:40:47.49" personId="{3BC504BB-E652-442B-B90F-D4ADB719C730}" id="{8FAEAA7E-D81B-4CCC-89BC-DA01FBD5B83A}">
    <text>Esenti  per 5 anni e poi paga 1/4</text>
  </threadedComment>
  <threadedComment ref="D44" dT="2024-03-21T12:40:47.49" personId="{3BC504BB-E652-442B-B90F-D4ADB719C730}" id="{7225E9C1-8221-4F92-A153-5A7582B716DD}">
    <text>Esenti  per 5 anni e poi paga 1/4</text>
  </threadedComment>
  <threadedComment ref="D45" dT="2024-03-21T12:40:47.49" personId="{3BC504BB-E652-442B-B90F-D4ADB719C730}" id="{B394CA2D-D501-46D5-9151-7CB0B4A63EA0}">
    <text>Esenti  per 5 anni e poi paga 1/4</text>
  </threadedComment>
  <threadedComment ref="H45" dT="2024-03-21T13:33:01.54" personId="{3BC504BB-E652-442B-B90F-D4ADB719C730}" id="{D5AAEF2F-6F61-493F-A1A8-D50FEEE54A68}">
    <text>Esenti per 3 anni</text>
  </threadedComment>
  <threadedComment ref="I45" dT="2024-03-21T13:33:01.54" personId="{3BC504BB-E652-442B-B90F-D4ADB719C730}" id="{A2510029-BF6D-48B2-A610-3B300714F38F}">
    <text>Esenti per 3 anni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ci.it/fileadmin/documenti/per_circolare/guida_al_bollo/tariffari_2024/Bolzano_Italiano_-_2024_v4_07022024.pdf" TargetMode="External"/><Relationship Id="rId13" Type="http://schemas.openxmlformats.org/officeDocument/2006/relationships/hyperlink" Target="https://tributi.regione.calabria.it/en/web/guest/quantota" TargetMode="External"/><Relationship Id="rId3" Type="http://schemas.openxmlformats.org/officeDocument/2006/relationships/hyperlink" Target="https://servizi.regione.liguria.it/page/welcome/BOLLO_AUTO" TargetMode="External"/><Relationship Id="rId7" Type="http://schemas.openxmlformats.org/officeDocument/2006/relationships/hyperlink" Target="https://www.aci.it/fileadmin/documenti/per_circolare/guida_al_bollo/tariffari_2024/Trento_-_2024_v1_08012024.pdf" TargetMode="External"/><Relationship Id="rId12" Type="http://schemas.openxmlformats.org/officeDocument/2006/relationships/hyperlink" Target="https://www.aci.it/fileadmin/documenti/per_circolare/guida_al_bollo/tariffari_2024/Umbria_-_2024__v3.pptx_12012024.pdf" TargetMode="External"/><Relationship Id="rId2" Type="http://schemas.openxmlformats.org/officeDocument/2006/relationships/hyperlink" Target="https://www.regione.basilicata.it/giuntacma/files/docs/DOCUMENT_FILE_3102311.pdf" TargetMode="External"/><Relationship Id="rId1" Type="http://schemas.openxmlformats.org/officeDocument/2006/relationships/hyperlink" Target="https://www.aci.it/fileadmin/documenti/per_circolare/guida_al_bollo/tariffari_2024/Lazio_-_2024_v1_04012024.pdf" TargetMode="External"/><Relationship Id="rId6" Type="http://schemas.openxmlformats.org/officeDocument/2006/relationships/hyperlink" Target="https://www.aci.it/fileadmin/documenti/per_circolare/guida_al_bollo/tariffari_2024/Toscana_-_2024_v1.pdf" TargetMode="External"/><Relationship Id="rId11" Type="http://schemas.openxmlformats.org/officeDocument/2006/relationships/hyperlink" Target="https://www.aci.it/i-servizi/guide-utili/guida-al-bollo-auto/regioni-e-province-autonome-convenzionate-con-aci/regione-autonoma-valle-daosta.html" TargetMode="External"/><Relationship Id="rId5" Type="http://schemas.openxmlformats.org/officeDocument/2006/relationships/hyperlink" Target="https://www.aci.it/fileadmin/documenti/per_circolare/guida_al_bollo/tariffari_2024/Abruzzo_-_2024_v1.pdf" TargetMode="External"/><Relationship Id="rId10" Type="http://schemas.openxmlformats.org/officeDocument/2006/relationships/hyperlink" Target="https://www.aci.it/fileadmin/documenti/per_circolare/guida_al_bollo/tariffari_2024/Friuli_e_Sardegna_-2024_v1_15012024.pdf" TargetMode="External"/><Relationship Id="rId4" Type="http://schemas.openxmlformats.org/officeDocument/2006/relationships/hyperlink" Target="https://www.regione.marche.it/Regione-Utile/Finanze/Tassa-Automobilistica" TargetMode="External"/><Relationship Id="rId9" Type="http://schemas.openxmlformats.org/officeDocument/2006/relationships/hyperlink" Target="https://www.aci.it/fileadmin/documenti/per_circolare/guida_al_bollo/tariffari_2024/Puglia_-_2024_v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6284-065D-42D3-8486-552A0FF5BFBE}">
  <dimension ref="A1:Q45"/>
  <sheetViews>
    <sheetView tabSelected="1" workbookViewId="0">
      <selection activeCell="N24" sqref="N24"/>
    </sheetView>
  </sheetViews>
  <sheetFormatPr defaultColWidth="11.875" defaultRowHeight="14.25"/>
  <sheetData>
    <row r="1" spans="1:17" ht="15">
      <c r="D1" s="1"/>
      <c r="N1" s="2"/>
      <c r="Q1" s="3"/>
    </row>
    <row r="2" spans="1:17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7</v>
      </c>
      <c r="H2" t="s">
        <v>5</v>
      </c>
      <c r="I2" t="s">
        <v>6</v>
      </c>
      <c r="J2" t="s">
        <v>8</v>
      </c>
      <c r="K2" t="s">
        <v>9</v>
      </c>
    </row>
    <row r="3" spans="1:17">
      <c r="A3" t="s">
        <v>59</v>
      </c>
      <c r="B3" s="4" t="s">
        <v>10</v>
      </c>
      <c r="C3">
        <v>3.12</v>
      </c>
      <c r="D3">
        <v>0</v>
      </c>
      <c r="E3">
        <v>3.12</v>
      </c>
      <c r="F3">
        <v>3.12</v>
      </c>
      <c r="G3" s="14">
        <v>3.12</v>
      </c>
      <c r="H3">
        <v>3.12</v>
      </c>
      <c r="I3">
        <v>3.12</v>
      </c>
      <c r="J3">
        <v>3.12</v>
      </c>
      <c r="K3" s="14">
        <f>C3</f>
        <v>3.12</v>
      </c>
      <c r="N3" s="5"/>
    </row>
    <row r="4" spans="1:17">
      <c r="A4" t="s">
        <v>59</v>
      </c>
      <c r="B4" s="4" t="s">
        <v>11</v>
      </c>
      <c r="C4">
        <v>2.58</v>
      </c>
      <c r="D4">
        <v>0</v>
      </c>
      <c r="E4" s="10">
        <f>C4*0.25</f>
        <v>0.64500000000000002</v>
      </c>
      <c r="F4" s="11">
        <f>E4</f>
        <v>0.64500000000000002</v>
      </c>
      <c r="G4">
        <v>0</v>
      </c>
      <c r="H4">
        <v>0</v>
      </c>
      <c r="I4">
        <v>0</v>
      </c>
      <c r="K4">
        <v>0</v>
      </c>
    </row>
    <row r="5" spans="1:17">
      <c r="A5" t="s">
        <v>59</v>
      </c>
      <c r="B5" s="4" t="s">
        <v>12</v>
      </c>
      <c r="C5">
        <v>2.84</v>
      </c>
      <c r="D5">
        <v>0</v>
      </c>
      <c r="E5" s="10">
        <f>C5*0.25</f>
        <v>0.71</v>
      </c>
      <c r="F5" s="11">
        <f>E5</f>
        <v>0.71</v>
      </c>
      <c r="G5" s="12">
        <f>C5</f>
        <v>2.84</v>
      </c>
      <c r="H5" s="12">
        <f>G5</f>
        <v>2.84</v>
      </c>
      <c r="I5" s="12">
        <f t="shared" ref="I5:K5" si="0">H5</f>
        <v>2.84</v>
      </c>
      <c r="J5" s="12">
        <f t="shared" si="0"/>
        <v>2.84</v>
      </c>
      <c r="K5" s="12">
        <f t="shared" si="0"/>
        <v>2.84</v>
      </c>
      <c r="N5" s="5"/>
    </row>
    <row r="6" spans="1:17">
      <c r="A6" t="s">
        <v>59</v>
      </c>
      <c r="B6" s="4" t="s">
        <v>13</v>
      </c>
      <c r="C6">
        <v>3.12</v>
      </c>
      <c r="D6">
        <v>0</v>
      </c>
      <c r="E6">
        <v>3.12</v>
      </c>
      <c r="F6">
        <v>3.12</v>
      </c>
      <c r="G6">
        <v>3.12</v>
      </c>
      <c r="H6">
        <v>0</v>
      </c>
      <c r="I6">
        <v>3.12</v>
      </c>
      <c r="J6">
        <v>0</v>
      </c>
      <c r="K6">
        <v>0</v>
      </c>
      <c r="N6" s="5"/>
    </row>
    <row r="7" spans="1:17">
      <c r="A7" t="s">
        <v>59</v>
      </c>
      <c r="B7" s="4" t="s">
        <v>14</v>
      </c>
      <c r="C7">
        <v>2.58</v>
      </c>
      <c r="D7">
        <v>0</v>
      </c>
      <c r="E7" s="13">
        <f>C7</f>
        <v>2.58</v>
      </c>
      <c r="F7" s="11">
        <f>E7</f>
        <v>2.58</v>
      </c>
      <c r="G7" s="11">
        <f t="shared" ref="G7:K7" si="1">F7</f>
        <v>2.58</v>
      </c>
      <c r="H7" s="11">
        <f t="shared" si="1"/>
        <v>2.58</v>
      </c>
      <c r="I7" s="11">
        <f t="shared" si="1"/>
        <v>2.58</v>
      </c>
      <c r="J7" s="11">
        <f t="shared" si="1"/>
        <v>2.58</v>
      </c>
      <c r="K7" s="11">
        <f t="shared" si="1"/>
        <v>2.58</v>
      </c>
      <c r="N7" s="5"/>
    </row>
    <row r="8" spans="1:17">
      <c r="A8" t="s">
        <v>59</v>
      </c>
      <c r="B8" s="4" t="s">
        <v>15</v>
      </c>
      <c r="C8">
        <v>2.58</v>
      </c>
      <c r="D8">
        <v>0</v>
      </c>
      <c r="E8" s="12">
        <f>C8*0.25</f>
        <v>0.64500000000000002</v>
      </c>
      <c r="F8" s="11">
        <f>E8</f>
        <v>0.64500000000000002</v>
      </c>
      <c r="G8" s="12">
        <f>C8</f>
        <v>2.58</v>
      </c>
      <c r="H8" s="12">
        <f>G8</f>
        <v>2.58</v>
      </c>
      <c r="I8" s="12">
        <f t="shared" ref="I8:K8" si="2">H8</f>
        <v>2.58</v>
      </c>
      <c r="J8" s="12">
        <f t="shared" si="2"/>
        <v>2.58</v>
      </c>
      <c r="K8" s="12">
        <f t="shared" si="2"/>
        <v>2.58</v>
      </c>
      <c r="N8" s="5"/>
    </row>
    <row r="9" spans="1:17">
      <c r="A9" t="s">
        <v>59</v>
      </c>
      <c r="B9" s="4" t="s">
        <v>16</v>
      </c>
      <c r="C9">
        <v>2.84</v>
      </c>
      <c r="D9">
        <v>0</v>
      </c>
      <c r="E9" s="12">
        <f>C9*0.25</f>
        <v>0.71</v>
      </c>
      <c r="F9" s="11">
        <f>E9</f>
        <v>0.71</v>
      </c>
      <c r="G9">
        <v>2.84</v>
      </c>
      <c r="H9">
        <v>2.84</v>
      </c>
      <c r="I9">
        <v>2.84</v>
      </c>
      <c r="J9">
        <v>2.84</v>
      </c>
      <c r="K9">
        <v>2.84</v>
      </c>
      <c r="N9" s="5"/>
    </row>
    <row r="10" spans="1:17">
      <c r="A10" t="s">
        <v>59</v>
      </c>
      <c r="B10" s="4" t="s">
        <v>17</v>
      </c>
      <c r="C10">
        <v>2.84</v>
      </c>
      <c r="D10">
        <v>0</v>
      </c>
      <c r="E10" s="12">
        <f>C10*0.25</f>
        <v>0.71</v>
      </c>
      <c r="F10" s="11">
        <f>E10</f>
        <v>0.71</v>
      </c>
      <c r="G10">
        <v>0</v>
      </c>
      <c r="H10">
        <v>0</v>
      </c>
      <c r="I10">
        <v>0</v>
      </c>
      <c r="J10" s="14">
        <v>0</v>
      </c>
      <c r="K10" s="5">
        <f>C10</f>
        <v>2.84</v>
      </c>
      <c r="N10" s="5"/>
    </row>
    <row r="11" spans="1:17">
      <c r="A11" t="s">
        <v>59</v>
      </c>
      <c r="B11" s="4" t="s">
        <v>18</v>
      </c>
      <c r="C11">
        <v>2.58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 s="5"/>
    </row>
    <row r="12" spans="1:17">
      <c r="A12" t="s">
        <v>59</v>
      </c>
      <c r="B12" s="4" t="s">
        <v>19</v>
      </c>
      <c r="C12">
        <v>2.79</v>
      </c>
      <c r="D12">
        <v>0</v>
      </c>
      <c r="E12" s="13">
        <f>C12*0.25</f>
        <v>0.69750000000000001</v>
      </c>
      <c r="F12" s="13">
        <f>C12*0.25</f>
        <v>0.69750000000000001</v>
      </c>
      <c r="G12" s="12">
        <f>C12</f>
        <v>2.79</v>
      </c>
      <c r="H12" s="11">
        <f>G12</f>
        <v>2.79</v>
      </c>
      <c r="I12" s="11">
        <f t="shared" ref="I12:K12" si="3">H12</f>
        <v>2.79</v>
      </c>
      <c r="J12" s="11">
        <f t="shared" si="3"/>
        <v>2.79</v>
      </c>
      <c r="K12" s="11">
        <f t="shared" si="3"/>
        <v>2.79</v>
      </c>
      <c r="N12" s="5"/>
    </row>
    <row r="13" spans="1:17">
      <c r="A13" t="s">
        <v>59</v>
      </c>
      <c r="B13" s="4" t="s">
        <v>20</v>
      </c>
      <c r="C13">
        <v>2.76</v>
      </c>
      <c r="D13">
        <v>0</v>
      </c>
      <c r="E13" s="13">
        <f>C13*0.25</f>
        <v>0.69</v>
      </c>
      <c r="F13" s="13">
        <f>C13*0.25</f>
        <v>0.69</v>
      </c>
      <c r="G13" s="12">
        <f>C13</f>
        <v>2.76</v>
      </c>
      <c r="H13" s="11">
        <f>G13</f>
        <v>2.76</v>
      </c>
      <c r="I13" s="11">
        <f t="shared" ref="I13:K13" si="4">H13</f>
        <v>2.76</v>
      </c>
      <c r="J13" s="11">
        <f t="shared" si="4"/>
        <v>2.76</v>
      </c>
      <c r="K13" s="11">
        <f t="shared" si="4"/>
        <v>2.76</v>
      </c>
      <c r="N13" s="5"/>
    </row>
    <row r="14" spans="1:17">
      <c r="A14" t="s">
        <v>59</v>
      </c>
      <c r="B14" s="4" t="s">
        <v>21</v>
      </c>
      <c r="C14" s="6">
        <v>2.84</v>
      </c>
      <c r="D14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12">
        <f>C14</f>
        <v>2.84</v>
      </c>
      <c r="K14" s="12">
        <f>C14</f>
        <v>2.84</v>
      </c>
      <c r="N14" s="5"/>
    </row>
    <row r="15" spans="1:17">
      <c r="A15" t="s">
        <v>59</v>
      </c>
      <c r="B15" s="4" t="s">
        <v>22</v>
      </c>
      <c r="C15">
        <v>1.96</v>
      </c>
      <c r="D15">
        <v>1.96</v>
      </c>
      <c r="E15">
        <v>1.96</v>
      </c>
      <c r="F15">
        <v>1.96</v>
      </c>
      <c r="G15" s="12">
        <f>C15</f>
        <v>1.96</v>
      </c>
      <c r="H15" s="11">
        <f>G15</f>
        <v>1.96</v>
      </c>
      <c r="I15" s="11">
        <f t="shared" ref="I15:K16" si="5">H15</f>
        <v>1.96</v>
      </c>
      <c r="J15" s="11">
        <f t="shared" si="5"/>
        <v>1.96</v>
      </c>
      <c r="K15" s="11">
        <f t="shared" si="5"/>
        <v>1.96</v>
      </c>
      <c r="N15" s="5"/>
    </row>
    <row r="16" spans="1:17">
      <c r="A16" t="s">
        <v>59</v>
      </c>
      <c r="B16" s="4" t="s">
        <v>23</v>
      </c>
      <c r="C16">
        <v>1.96</v>
      </c>
      <c r="D16">
        <v>0</v>
      </c>
      <c r="E16" s="12">
        <f>C16*0.25</f>
        <v>0.49</v>
      </c>
      <c r="F16" s="12">
        <f>C16*0.25</f>
        <v>0.49</v>
      </c>
      <c r="G16" s="12">
        <f>C16</f>
        <v>1.96</v>
      </c>
      <c r="H16" s="11">
        <f>G16</f>
        <v>1.96</v>
      </c>
      <c r="I16" s="11">
        <f t="shared" si="5"/>
        <v>1.96</v>
      </c>
      <c r="J16" s="11">
        <f t="shared" si="5"/>
        <v>1.96</v>
      </c>
      <c r="K16" s="11">
        <f t="shared" si="5"/>
        <v>1.96</v>
      </c>
      <c r="N16" s="5"/>
    </row>
    <row r="17" spans="1:14">
      <c r="A17" t="s">
        <v>59</v>
      </c>
      <c r="B17" s="4" t="s">
        <v>24</v>
      </c>
      <c r="C17">
        <v>2.58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 s="5"/>
    </row>
    <row r="18" spans="1:14">
      <c r="A18" t="s">
        <v>59</v>
      </c>
      <c r="B18" s="4" t="s">
        <v>25</v>
      </c>
      <c r="C18">
        <v>2.58</v>
      </c>
      <c r="D18">
        <v>0</v>
      </c>
      <c r="E18" s="12">
        <f>$C$18*0.25</f>
        <v>0.64500000000000002</v>
      </c>
      <c r="F18" s="12">
        <f>$C$18*0.25</f>
        <v>0.64500000000000002</v>
      </c>
      <c r="G18" s="12">
        <f>$C$18</f>
        <v>2.58</v>
      </c>
      <c r="H18" s="12">
        <f t="shared" ref="H18:K18" si="6">$C$18</f>
        <v>2.58</v>
      </c>
      <c r="I18" s="12">
        <f t="shared" si="6"/>
        <v>2.58</v>
      </c>
      <c r="J18" s="12">
        <f t="shared" si="6"/>
        <v>2.58</v>
      </c>
      <c r="K18" s="12">
        <f t="shared" si="6"/>
        <v>2.58</v>
      </c>
      <c r="N18" s="5"/>
    </row>
    <row r="19" spans="1:14">
      <c r="A19" t="s">
        <v>59</v>
      </c>
      <c r="B19" s="4" t="s">
        <v>26</v>
      </c>
      <c r="C19">
        <v>2.58</v>
      </c>
      <c r="D19">
        <v>0</v>
      </c>
      <c r="E19" s="12">
        <f>$C19*0.25</f>
        <v>0.64500000000000002</v>
      </c>
      <c r="F19" s="12">
        <f>$C$19*0.25</f>
        <v>0.64500000000000002</v>
      </c>
      <c r="G19" s="12">
        <f>C19</f>
        <v>2.58</v>
      </c>
      <c r="H19">
        <v>0</v>
      </c>
      <c r="I19">
        <v>0</v>
      </c>
      <c r="J19">
        <v>0</v>
      </c>
      <c r="K19">
        <v>0</v>
      </c>
      <c r="N19" s="5"/>
    </row>
    <row r="20" spans="1:14">
      <c r="A20" t="s">
        <v>59</v>
      </c>
      <c r="B20" s="4" t="s">
        <v>27</v>
      </c>
      <c r="C20">
        <v>2.71</v>
      </c>
      <c r="D20">
        <v>0</v>
      </c>
      <c r="E20" s="12">
        <f t="shared" ref="E20:F23" si="7">$C20*0.25</f>
        <v>0.67749999999999999</v>
      </c>
      <c r="F20" s="12">
        <f t="shared" si="7"/>
        <v>0.67749999999999999</v>
      </c>
      <c r="G20" s="12">
        <f t="shared" ref="G20:G22" si="8">C20</f>
        <v>2.71</v>
      </c>
      <c r="H20" s="12">
        <f>C20</f>
        <v>2.71</v>
      </c>
      <c r="I20" s="12">
        <f>C20</f>
        <v>2.71</v>
      </c>
      <c r="J20" s="12">
        <f>C20</f>
        <v>2.71</v>
      </c>
      <c r="K20" s="12">
        <f>J20</f>
        <v>2.71</v>
      </c>
      <c r="N20" s="5"/>
    </row>
    <row r="21" spans="1:14">
      <c r="A21" t="s">
        <v>59</v>
      </c>
      <c r="B21" s="4" t="s">
        <v>28</v>
      </c>
      <c r="C21">
        <v>2.71</v>
      </c>
      <c r="D21">
        <v>0</v>
      </c>
      <c r="E21" s="12">
        <f t="shared" si="7"/>
        <v>0.67749999999999999</v>
      </c>
      <c r="F21" s="12">
        <f t="shared" si="7"/>
        <v>0.67749999999999999</v>
      </c>
      <c r="G21" s="12">
        <f t="shared" si="8"/>
        <v>2.71</v>
      </c>
      <c r="H21" s="6">
        <v>2.58</v>
      </c>
      <c r="I21" s="6">
        <v>2.58</v>
      </c>
      <c r="J21" s="6">
        <v>2.58</v>
      </c>
      <c r="K21" s="12">
        <f t="shared" ref="K21:K23" si="9">J21</f>
        <v>2.58</v>
      </c>
      <c r="N21" s="5"/>
    </row>
    <row r="22" spans="1:14">
      <c r="A22" t="s">
        <v>59</v>
      </c>
      <c r="B22" s="4" t="s">
        <v>29</v>
      </c>
      <c r="C22">
        <v>2.58</v>
      </c>
      <c r="D22">
        <v>0</v>
      </c>
      <c r="E22" s="12">
        <f t="shared" si="7"/>
        <v>0.64500000000000002</v>
      </c>
      <c r="F22" s="12">
        <f>$C22*0.25</f>
        <v>0.64500000000000002</v>
      </c>
      <c r="G22" s="12">
        <f t="shared" si="8"/>
        <v>2.58</v>
      </c>
      <c r="H22" s="12">
        <f>C22</f>
        <v>2.58</v>
      </c>
      <c r="I22" s="12">
        <f>C22</f>
        <v>2.58</v>
      </c>
      <c r="J22" s="12">
        <f>C22</f>
        <v>2.58</v>
      </c>
      <c r="K22" s="12">
        <f t="shared" si="9"/>
        <v>2.58</v>
      </c>
      <c r="N22" s="5"/>
    </row>
    <row r="23" spans="1:14">
      <c r="A23" t="s">
        <v>59</v>
      </c>
      <c r="B23" s="4" t="s">
        <v>30</v>
      </c>
      <c r="C23">
        <v>2.84</v>
      </c>
      <c r="D23">
        <v>0</v>
      </c>
      <c r="E23" s="12">
        <f>$C23*0.25</f>
        <v>0.71</v>
      </c>
      <c r="F23" s="12">
        <f>$C23*0.25</f>
        <v>0.71</v>
      </c>
      <c r="G23">
        <v>2.84</v>
      </c>
      <c r="H23">
        <v>0</v>
      </c>
      <c r="I23">
        <v>0</v>
      </c>
      <c r="J23" s="12">
        <f>C23</f>
        <v>2.84</v>
      </c>
      <c r="K23" s="12">
        <f t="shared" si="9"/>
        <v>2.84</v>
      </c>
      <c r="N23" s="5"/>
    </row>
    <row r="24" spans="1:14" ht="19.5" customHeight="1"/>
    <row r="25" spans="1:14">
      <c r="A25" t="s">
        <v>60</v>
      </c>
      <c r="B25" s="4" t="s">
        <v>10</v>
      </c>
      <c r="C25">
        <v>4.6900000000000004</v>
      </c>
      <c r="D25">
        <v>0</v>
      </c>
      <c r="E25">
        <v>4.6900000000000004</v>
      </c>
      <c r="F25">
        <v>4.6900000000000004</v>
      </c>
      <c r="G25" s="12">
        <f>C25</f>
        <v>4.6900000000000004</v>
      </c>
      <c r="H25">
        <v>4.6900000000000004</v>
      </c>
      <c r="I25">
        <v>4.6900000000000004</v>
      </c>
      <c r="J25">
        <v>4.6900000000000004</v>
      </c>
      <c r="K25" s="12">
        <f>C25</f>
        <v>4.6900000000000004</v>
      </c>
    </row>
    <row r="26" spans="1:14">
      <c r="A26" t="s">
        <v>60</v>
      </c>
      <c r="B26" s="4" t="s">
        <v>11</v>
      </c>
      <c r="C26">
        <v>3.87</v>
      </c>
      <c r="D26">
        <v>0</v>
      </c>
      <c r="E26" s="12">
        <f>C26*0.25</f>
        <v>0.96750000000000003</v>
      </c>
      <c r="F26" s="12">
        <f>C26*0.25</f>
        <v>0.96750000000000003</v>
      </c>
      <c r="G26">
        <v>0</v>
      </c>
      <c r="H26">
        <v>0</v>
      </c>
      <c r="I26">
        <v>0</v>
      </c>
      <c r="K26">
        <v>0</v>
      </c>
    </row>
    <row r="27" spans="1:14">
      <c r="A27" t="s">
        <v>60</v>
      </c>
      <c r="B27" s="4" t="s">
        <v>12</v>
      </c>
      <c r="C27">
        <v>4.26</v>
      </c>
      <c r="D27">
        <v>0</v>
      </c>
      <c r="E27" s="12">
        <f>C27*0.25</f>
        <v>1.0649999999999999</v>
      </c>
      <c r="F27" s="12">
        <f>C27*0.25</f>
        <v>1.0649999999999999</v>
      </c>
      <c r="G27" s="12">
        <f>C27</f>
        <v>4.26</v>
      </c>
      <c r="H27" s="11">
        <f>G27</f>
        <v>4.26</v>
      </c>
      <c r="I27" s="11">
        <f t="shared" ref="I27:K27" si="10">H27</f>
        <v>4.26</v>
      </c>
      <c r="J27" s="11">
        <f t="shared" si="10"/>
        <v>4.26</v>
      </c>
      <c r="K27" s="11">
        <f t="shared" si="10"/>
        <v>4.26</v>
      </c>
    </row>
    <row r="28" spans="1:14">
      <c r="A28" t="s">
        <v>60</v>
      </c>
      <c r="B28" s="4" t="s">
        <v>13</v>
      </c>
      <c r="C28">
        <v>4.6900000000000004</v>
      </c>
      <c r="D28">
        <v>0</v>
      </c>
      <c r="E28">
        <v>4.6900000000000004</v>
      </c>
      <c r="F28">
        <v>4.6900000000000004</v>
      </c>
      <c r="G28">
        <v>4.6900000000000004</v>
      </c>
      <c r="H28">
        <v>0</v>
      </c>
      <c r="I28">
        <v>4.6900000000000004</v>
      </c>
      <c r="J28">
        <v>0</v>
      </c>
      <c r="K28">
        <v>0</v>
      </c>
    </row>
    <row r="29" spans="1:14">
      <c r="A29" t="s">
        <v>60</v>
      </c>
      <c r="B29" s="4" t="s">
        <v>14</v>
      </c>
      <c r="C29">
        <v>3.87</v>
      </c>
      <c r="D29">
        <v>0</v>
      </c>
      <c r="E29" s="12">
        <f>C29</f>
        <v>3.87</v>
      </c>
      <c r="F29" s="12">
        <f>C29</f>
        <v>3.87</v>
      </c>
      <c r="G29" s="11">
        <f>F29</f>
        <v>3.87</v>
      </c>
      <c r="H29" s="11">
        <f t="shared" ref="H29:K29" si="11">G29</f>
        <v>3.87</v>
      </c>
      <c r="I29" s="11">
        <f t="shared" si="11"/>
        <v>3.87</v>
      </c>
      <c r="J29" s="11">
        <f t="shared" si="11"/>
        <v>3.87</v>
      </c>
      <c r="K29" s="11">
        <f t="shared" si="11"/>
        <v>3.87</v>
      </c>
    </row>
    <row r="30" spans="1:14">
      <c r="A30" t="s">
        <v>60</v>
      </c>
      <c r="B30" s="4" t="s">
        <v>15</v>
      </c>
      <c r="C30">
        <v>3.87</v>
      </c>
      <c r="D30">
        <v>0</v>
      </c>
      <c r="E30" s="12">
        <f>$C30*0.25</f>
        <v>0.96750000000000003</v>
      </c>
      <c r="F30" s="12">
        <f>$C30*0.25</f>
        <v>0.96750000000000003</v>
      </c>
      <c r="G30" s="12">
        <f>C30</f>
        <v>3.87</v>
      </c>
      <c r="H30" s="11">
        <f>G30</f>
        <v>3.87</v>
      </c>
      <c r="I30" s="11">
        <f t="shared" ref="I30:K30" si="12">H30</f>
        <v>3.87</v>
      </c>
      <c r="J30" s="11">
        <f t="shared" si="12"/>
        <v>3.87</v>
      </c>
      <c r="K30" s="11">
        <f t="shared" si="12"/>
        <v>3.87</v>
      </c>
    </row>
    <row r="31" spans="1:14">
      <c r="A31" t="s">
        <v>60</v>
      </c>
      <c r="B31" s="4" t="s">
        <v>16</v>
      </c>
      <c r="C31">
        <v>4.26</v>
      </c>
      <c r="D31">
        <v>0</v>
      </c>
      <c r="E31" s="12">
        <f>$C31*0.25</f>
        <v>1.0649999999999999</v>
      </c>
      <c r="F31" s="12">
        <f>$C31*0.25</f>
        <v>1.0649999999999999</v>
      </c>
      <c r="G31">
        <v>4.26</v>
      </c>
      <c r="H31">
        <v>4.26</v>
      </c>
      <c r="I31">
        <v>4.26</v>
      </c>
      <c r="J31">
        <v>4.26</v>
      </c>
      <c r="K31">
        <v>4.26</v>
      </c>
    </row>
    <row r="32" spans="1:14">
      <c r="A32" t="s">
        <v>60</v>
      </c>
      <c r="B32" s="4" t="s">
        <v>17</v>
      </c>
      <c r="C32">
        <v>4.26</v>
      </c>
      <c r="D32">
        <v>0</v>
      </c>
      <c r="E32" s="12">
        <f>$C32*0.25</f>
        <v>1.0649999999999999</v>
      </c>
      <c r="F32" s="12">
        <f>$C32*0.25</f>
        <v>1.0649999999999999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t="s">
        <v>60</v>
      </c>
      <c r="B33" s="4" t="s">
        <v>18</v>
      </c>
      <c r="C33">
        <v>3.87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60</v>
      </c>
      <c r="B34" s="4" t="s">
        <v>19</v>
      </c>
      <c r="C34">
        <v>4.18</v>
      </c>
      <c r="D34">
        <v>0</v>
      </c>
      <c r="E34" s="12">
        <f>$C34*0.25</f>
        <v>1.0449999999999999</v>
      </c>
      <c r="F34" s="12">
        <f>$C34*0.25</f>
        <v>1.0449999999999999</v>
      </c>
      <c r="G34" s="12">
        <f>$C34</f>
        <v>4.18</v>
      </c>
      <c r="H34" s="12">
        <f>$C34</f>
        <v>4.18</v>
      </c>
      <c r="I34" s="12">
        <f>$C34</f>
        <v>4.18</v>
      </c>
      <c r="J34" s="12">
        <f>$C34</f>
        <v>4.18</v>
      </c>
      <c r="K34" s="12">
        <f>$C34</f>
        <v>4.18</v>
      </c>
    </row>
    <row r="35" spans="1:11">
      <c r="A35" t="s">
        <v>60</v>
      </c>
      <c r="B35" s="4" t="s">
        <v>20</v>
      </c>
      <c r="C35">
        <v>4.1399999999999997</v>
      </c>
      <c r="D35">
        <v>0</v>
      </c>
      <c r="E35" s="12">
        <f>$C35*0.25</f>
        <v>1.0349999999999999</v>
      </c>
      <c r="F35" s="12">
        <f>$C35*0.25</f>
        <v>1.0349999999999999</v>
      </c>
      <c r="G35" s="12">
        <f>$C35</f>
        <v>4.1399999999999997</v>
      </c>
      <c r="H35" s="12">
        <f>$C35</f>
        <v>4.1399999999999997</v>
      </c>
      <c r="I35" s="12">
        <f>$C35</f>
        <v>4.1399999999999997</v>
      </c>
      <c r="J35" s="12">
        <f>$C35</f>
        <v>4.1399999999999997</v>
      </c>
      <c r="K35" s="12">
        <f>$C35</f>
        <v>4.1399999999999997</v>
      </c>
    </row>
    <row r="36" spans="1:11">
      <c r="A36" t="s">
        <v>60</v>
      </c>
      <c r="B36" s="4" t="s">
        <v>21</v>
      </c>
      <c r="C36">
        <v>4.26</v>
      </c>
      <c r="D3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>
        <v>0</v>
      </c>
      <c r="K36">
        <v>0</v>
      </c>
    </row>
    <row r="37" spans="1:11">
      <c r="A37" t="s">
        <v>60</v>
      </c>
      <c r="B37" s="4" t="s">
        <v>22</v>
      </c>
      <c r="C37">
        <v>2.94</v>
      </c>
      <c r="D37">
        <v>1.96</v>
      </c>
      <c r="E37">
        <v>1.96</v>
      </c>
      <c r="F37">
        <v>1.96</v>
      </c>
      <c r="G37" s="12">
        <f>C37</f>
        <v>2.94</v>
      </c>
      <c r="H37">
        <v>1.96</v>
      </c>
      <c r="I37">
        <v>1.96</v>
      </c>
      <c r="J37">
        <v>1.96</v>
      </c>
      <c r="K37" s="12">
        <f>J37</f>
        <v>1.96</v>
      </c>
    </row>
    <row r="38" spans="1:11">
      <c r="A38" t="s">
        <v>60</v>
      </c>
      <c r="B38" s="4" t="s">
        <v>23</v>
      </c>
      <c r="C38">
        <v>2.95</v>
      </c>
      <c r="D38">
        <v>0</v>
      </c>
      <c r="E38" s="12">
        <f>$C38*0.25</f>
        <v>0.73750000000000004</v>
      </c>
      <c r="F38" s="12">
        <f>$C38*0.25</f>
        <v>0.73750000000000004</v>
      </c>
      <c r="G38" s="12">
        <f>$C38</f>
        <v>2.95</v>
      </c>
      <c r="H38" s="12">
        <f>$C38</f>
        <v>2.95</v>
      </c>
      <c r="I38" s="12">
        <f>$C38</f>
        <v>2.95</v>
      </c>
      <c r="J38" s="12">
        <f>$C38</f>
        <v>2.95</v>
      </c>
      <c r="K38" s="12">
        <f>$C38</f>
        <v>2.95</v>
      </c>
    </row>
    <row r="39" spans="1:11">
      <c r="A39" t="s">
        <v>60</v>
      </c>
      <c r="B39" s="4" t="s">
        <v>24</v>
      </c>
      <c r="C39">
        <v>3.87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5">
        <v>1</v>
      </c>
    </row>
    <row r="40" spans="1:11">
      <c r="A40" t="s">
        <v>60</v>
      </c>
      <c r="B40" s="4" t="s">
        <v>25</v>
      </c>
      <c r="C40">
        <v>3.87</v>
      </c>
      <c r="D40">
        <v>0</v>
      </c>
      <c r="E40" s="12">
        <f>$C40*0.25</f>
        <v>0.96750000000000003</v>
      </c>
      <c r="F40" s="12">
        <f>$C40*0.25</f>
        <v>0.96750000000000003</v>
      </c>
      <c r="G40" s="12">
        <f>$C40</f>
        <v>3.87</v>
      </c>
      <c r="H40" s="12">
        <f>$C40</f>
        <v>3.87</v>
      </c>
      <c r="I40" s="12">
        <f>$C40</f>
        <v>3.87</v>
      </c>
      <c r="J40" s="12">
        <f>$C40</f>
        <v>3.87</v>
      </c>
      <c r="K40" s="12">
        <f>$C40</f>
        <v>3.87</v>
      </c>
    </row>
    <row r="41" spans="1:11">
      <c r="A41" t="s">
        <v>60</v>
      </c>
      <c r="B41" s="4" t="s">
        <v>26</v>
      </c>
      <c r="C41">
        <v>3.87</v>
      </c>
      <c r="D41">
        <v>0</v>
      </c>
      <c r="E41" s="12">
        <f>$C41*0.25</f>
        <v>0.96750000000000003</v>
      </c>
      <c r="F41" s="12">
        <f>$C41*0.25</f>
        <v>0.96750000000000003</v>
      </c>
      <c r="G41" s="12">
        <f>$C41</f>
        <v>3.87</v>
      </c>
      <c r="H41">
        <v>0</v>
      </c>
      <c r="I41">
        <v>0</v>
      </c>
      <c r="J41">
        <v>0</v>
      </c>
      <c r="K41">
        <v>0</v>
      </c>
    </row>
    <row r="42" spans="1:11">
      <c r="A42" t="s">
        <v>60</v>
      </c>
      <c r="B42" s="4" t="s">
        <v>27</v>
      </c>
      <c r="C42">
        <v>4.26</v>
      </c>
      <c r="D42">
        <v>0</v>
      </c>
      <c r="E42" s="12">
        <f>$C42*0.25</f>
        <v>1.0649999999999999</v>
      </c>
      <c r="F42" s="12">
        <f>$C42*0.25</f>
        <v>1.0649999999999999</v>
      </c>
      <c r="G42" s="12">
        <f>$C42</f>
        <v>4.26</v>
      </c>
      <c r="H42" s="12">
        <f>$C42</f>
        <v>4.26</v>
      </c>
      <c r="I42" s="12">
        <f>$C42</f>
        <v>4.26</v>
      </c>
      <c r="J42" s="12">
        <f>$C42</f>
        <v>4.26</v>
      </c>
      <c r="K42" s="12">
        <f>$C42</f>
        <v>4.26</v>
      </c>
    </row>
    <row r="43" spans="1:11">
      <c r="A43" t="s">
        <v>60</v>
      </c>
      <c r="B43" s="4" t="s">
        <v>28</v>
      </c>
      <c r="C43">
        <v>4.26</v>
      </c>
      <c r="D43">
        <v>0</v>
      </c>
      <c r="E43" s="12">
        <f>$C43*0.25</f>
        <v>1.0649999999999999</v>
      </c>
      <c r="F43" s="12">
        <f>$C43*0.25</f>
        <v>1.0649999999999999</v>
      </c>
      <c r="G43" s="12">
        <f>$C43</f>
        <v>4.26</v>
      </c>
      <c r="H43" s="6">
        <v>2.58</v>
      </c>
      <c r="I43" s="6">
        <v>2.58</v>
      </c>
      <c r="J43" s="6">
        <v>2.58</v>
      </c>
      <c r="K43" s="12">
        <f>$C43</f>
        <v>4.26</v>
      </c>
    </row>
    <row r="44" spans="1:11">
      <c r="A44" t="s">
        <v>60</v>
      </c>
      <c r="B44" s="4" t="s">
        <v>29</v>
      </c>
      <c r="C44">
        <v>3.87</v>
      </c>
      <c r="D44">
        <v>0</v>
      </c>
      <c r="E44" s="12">
        <f>$C44*0.25</f>
        <v>0.96750000000000003</v>
      </c>
      <c r="F44" s="12">
        <f>$C44*0.25</f>
        <v>0.96750000000000003</v>
      </c>
      <c r="G44" s="12">
        <f>$C44</f>
        <v>3.87</v>
      </c>
      <c r="H44" s="12">
        <f>$C44</f>
        <v>3.87</v>
      </c>
      <c r="I44" s="12">
        <f>$C44</f>
        <v>3.87</v>
      </c>
      <c r="J44" s="12">
        <f>$C44</f>
        <v>3.87</v>
      </c>
      <c r="K44" s="12">
        <f>$C44</f>
        <v>3.87</v>
      </c>
    </row>
    <row r="45" spans="1:11">
      <c r="A45" t="s">
        <v>60</v>
      </c>
      <c r="B45" s="4" t="s">
        <v>30</v>
      </c>
      <c r="C45">
        <v>4.26</v>
      </c>
      <c r="D45">
        <v>0</v>
      </c>
      <c r="E45" s="12">
        <f>$C45*0.25</f>
        <v>1.0649999999999999</v>
      </c>
      <c r="F45" s="12">
        <f>$C45*0.25</f>
        <v>1.0649999999999999</v>
      </c>
      <c r="G45">
        <v>2.84</v>
      </c>
      <c r="H45">
        <v>0</v>
      </c>
      <c r="I45">
        <v>0</v>
      </c>
      <c r="J45" s="12">
        <f>$C45</f>
        <v>4.26</v>
      </c>
      <c r="K45" s="12">
        <f>$C45</f>
        <v>4.26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268F-C2AF-42CB-B84D-DDE147131664}">
  <dimension ref="A1:E23"/>
  <sheetViews>
    <sheetView workbookViewId="0"/>
  </sheetViews>
  <sheetFormatPr defaultColWidth="13.5" defaultRowHeight="31.5" customHeight="1"/>
  <sheetData>
    <row r="1" spans="1:5" ht="31.5" customHeight="1">
      <c r="A1" t="s">
        <v>58</v>
      </c>
    </row>
    <row r="2" spans="1:5" ht="31.5" customHeight="1">
      <c r="A2" s="8">
        <v>1</v>
      </c>
      <c r="B2" s="8" t="s">
        <v>10</v>
      </c>
      <c r="C2" s="9" t="s">
        <v>31</v>
      </c>
      <c r="D2" s="8"/>
      <c r="E2" s="8"/>
    </row>
    <row r="3" spans="1:5" ht="31.5" customHeight="1">
      <c r="A3" s="8">
        <v>2</v>
      </c>
      <c r="B3" s="8" t="s">
        <v>11</v>
      </c>
      <c r="C3" s="9" t="s">
        <v>32</v>
      </c>
      <c r="D3" s="8"/>
      <c r="E3" s="8"/>
    </row>
    <row r="4" spans="1:5" ht="31.5" customHeight="1">
      <c r="A4" s="8">
        <v>3</v>
      </c>
      <c r="B4" s="8" t="s">
        <v>33</v>
      </c>
      <c r="C4" s="9" t="s">
        <v>34</v>
      </c>
      <c r="D4" s="8"/>
      <c r="E4" s="8"/>
    </row>
    <row r="5" spans="1:5" ht="31.5" customHeight="1">
      <c r="A5" s="8">
        <v>4</v>
      </c>
      <c r="B5" s="8" t="s">
        <v>12</v>
      </c>
      <c r="C5" s="7" t="s">
        <v>35</v>
      </c>
      <c r="D5" s="8"/>
      <c r="E5" s="8"/>
    </row>
    <row r="6" spans="1:5" ht="31.5" customHeight="1">
      <c r="A6" s="8">
        <v>5</v>
      </c>
      <c r="B6" s="8" t="s">
        <v>13</v>
      </c>
      <c r="C6" s="8" t="s">
        <v>36</v>
      </c>
      <c r="D6" s="8"/>
      <c r="E6" s="8"/>
    </row>
    <row r="7" spans="1:5" ht="31.5" customHeight="1">
      <c r="A7" s="8">
        <v>6</v>
      </c>
      <c r="B7" s="8" t="s">
        <v>37</v>
      </c>
      <c r="C7" s="8" t="s">
        <v>38</v>
      </c>
      <c r="D7" s="8"/>
      <c r="E7" s="8"/>
    </row>
    <row r="8" spans="1:5" ht="31.5" customHeight="1">
      <c r="A8" s="8">
        <v>7</v>
      </c>
      <c r="B8" s="8" t="s">
        <v>39</v>
      </c>
      <c r="C8" s="8" t="s">
        <v>40</v>
      </c>
      <c r="D8" s="8"/>
      <c r="E8" s="8"/>
    </row>
    <row r="9" spans="1:5" ht="31.5" customHeight="1">
      <c r="A9" s="8">
        <v>8</v>
      </c>
      <c r="B9" s="8" t="s">
        <v>16</v>
      </c>
      <c r="C9" s="9" t="s">
        <v>41</v>
      </c>
      <c r="D9" s="8"/>
      <c r="E9" s="8"/>
    </row>
    <row r="10" spans="1:5" ht="31.5" customHeight="1">
      <c r="A10" s="8">
        <v>9</v>
      </c>
      <c r="B10" s="8" t="s">
        <v>17</v>
      </c>
      <c r="C10" s="9" t="s">
        <v>42</v>
      </c>
      <c r="D10" s="8"/>
      <c r="E10" s="8"/>
    </row>
    <row r="11" spans="1:5" ht="31.5" customHeight="1">
      <c r="A11" s="8">
        <v>10</v>
      </c>
      <c r="B11" s="8" t="s">
        <v>18</v>
      </c>
      <c r="C11" s="9" t="s">
        <v>43</v>
      </c>
      <c r="D11" s="8"/>
      <c r="E11" s="8"/>
    </row>
    <row r="12" spans="1:5" ht="31.5" customHeight="1">
      <c r="A12" s="8">
        <v>11</v>
      </c>
      <c r="B12" s="8" t="s">
        <v>19</v>
      </c>
      <c r="C12" s="9" t="s">
        <v>44</v>
      </c>
      <c r="D12" s="8"/>
      <c r="E12" s="8"/>
    </row>
    <row r="13" spans="1:5" ht="31.5" customHeight="1">
      <c r="A13" s="8">
        <v>12</v>
      </c>
      <c r="B13" s="8" t="s">
        <v>20</v>
      </c>
      <c r="C13" s="8" t="s">
        <v>45</v>
      </c>
      <c r="D13" s="8"/>
      <c r="E13" s="8"/>
    </row>
    <row r="14" spans="1:5" ht="31.5" customHeight="1">
      <c r="A14" s="8">
        <v>13</v>
      </c>
      <c r="B14" s="8" t="s">
        <v>21</v>
      </c>
      <c r="C14" s="8" t="s">
        <v>46</v>
      </c>
      <c r="D14" s="8"/>
      <c r="E14" s="8"/>
    </row>
    <row r="15" spans="1:5" ht="31.5" customHeight="1">
      <c r="A15" s="8">
        <v>14</v>
      </c>
      <c r="B15" s="8" t="s">
        <v>24</v>
      </c>
      <c r="C15" s="9" t="s">
        <v>47</v>
      </c>
      <c r="D15" s="8"/>
      <c r="E15" s="8"/>
    </row>
    <row r="16" spans="1:5" ht="31.5" customHeight="1">
      <c r="A16" s="8">
        <v>15</v>
      </c>
      <c r="B16" s="8" t="s">
        <v>25</v>
      </c>
      <c r="C16" s="9" t="s">
        <v>40</v>
      </c>
      <c r="D16" s="8"/>
      <c r="E16" s="8"/>
    </row>
    <row r="17" spans="1:5" ht="31.5" customHeight="1">
      <c r="A17" s="8">
        <v>16</v>
      </c>
      <c r="B17" s="8" t="s">
        <v>26</v>
      </c>
      <c r="C17" s="8" t="s">
        <v>48</v>
      </c>
      <c r="D17" s="8"/>
      <c r="E17" s="8"/>
    </row>
    <row r="18" spans="1:5" ht="31.5" customHeight="1">
      <c r="A18" s="8">
        <v>17</v>
      </c>
      <c r="B18" s="8" t="s">
        <v>27</v>
      </c>
      <c r="C18" s="9" t="s">
        <v>49</v>
      </c>
      <c r="D18" s="8"/>
      <c r="E18" s="8"/>
    </row>
    <row r="19" spans="1:5" ht="31.5" customHeight="1">
      <c r="A19" s="8">
        <v>18</v>
      </c>
      <c r="B19" s="8" t="s">
        <v>50</v>
      </c>
      <c r="C19" s="9" t="s">
        <v>51</v>
      </c>
      <c r="D19" s="8"/>
      <c r="E19" s="8"/>
    </row>
    <row r="20" spans="1:5" ht="31.5" customHeight="1">
      <c r="A20" s="8">
        <v>19</v>
      </c>
      <c r="B20" s="8" t="s">
        <v>28</v>
      </c>
      <c r="C20" s="9" t="s">
        <v>52</v>
      </c>
      <c r="D20" s="8"/>
      <c r="E20" s="8"/>
    </row>
    <row r="21" spans="1:5" ht="31.5" customHeight="1">
      <c r="A21" s="8">
        <v>20</v>
      </c>
      <c r="B21" s="8" t="s">
        <v>53</v>
      </c>
      <c r="C21" s="9" t="s">
        <v>54</v>
      </c>
      <c r="D21" s="8"/>
      <c r="E21" s="8"/>
    </row>
    <row r="22" spans="1:5" ht="31.5" customHeight="1">
      <c r="A22" s="8">
        <v>21</v>
      </c>
      <c r="B22" s="8" t="s">
        <v>30</v>
      </c>
      <c r="C22" s="8" t="s">
        <v>55</v>
      </c>
      <c r="D22" s="8"/>
      <c r="E22" s="8"/>
    </row>
    <row r="23" spans="1:5" ht="31.5" customHeight="1">
      <c r="A23" s="8">
        <v>22</v>
      </c>
      <c r="B23" s="8" t="s">
        <v>56</v>
      </c>
      <c r="C23" s="8" t="s">
        <v>57</v>
      </c>
      <c r="D23" s="8"/>
      <c r="E23" s="8"/>
    </row>
  </sheetData>
  <hyperlinks>
    <hyperlink ref="C9" r:id="rId1" xr:uid="{97F86A96-ED93-4D59-B735-67217AEF9121}"/>
    <hyperlink ref="C3" r:id="rId2" xr:uid="{D65763D1-4FE5-477F-AFD0-44BEF533148F}"/>
    <hyperlink ref="C10" r:id="rId3" xr:uid="{79B88516-7333-4F8B-B528-1B2CA10E1FF2}"/>
    <hyperlink ref="C12" r:id="rId4" location="Quanto-si-paga" xr:uid="{D6607D10-9642-4FF2-A703-B712874B3242}"/>
    <hyperlink ref="C2" r:id="rId5" xr:uid="{BC1056AD-DE06-42EB-A5AC-8009C8761279}"/>
    <hyperlink ref="C18" r:id="rId6" xr:uid="{B5CE0F2A-9B93-4EC4-B19D-4096FDAC5EF0}"/>
    <hyperlink ref="C19" r:id="rId7" xr:uid="{53E06335-D9EE-48FD-B303-2A8A513B0FDF}"/>
    <hyperlink ref="C4" r:id="rId8" xr:uid="{45AED57B-A262-4BAE-ACF7-5C984C99EB68}"/>
    <hyperlink ref="C15" r:id="rId9" xr:uid="{D3430CC5-AF34-4195-AD1E-62A965805F1E}"/>
    <hyperlink ref="C16" r:id="rId10" xr:uid="{386F09D1-A0D5-4FC7-AFEB-512838FE70E4}"/>
    <hyperlink ref="C21" r:id="rId11" xr:uid="{81B9730E-2047-4818-977E-686FF5002022}"/>
    <hyperlink ref="C20" r:id="rId12" xr:uid="{36786DFD-6E6D-4BA3-9A9B-C2BDBA217DA8}"/>
    <hyperlink ref="C5" r:id="rId13" xr:uid="{43BF4BD2-5FDD-447A-A96D-6B57755BEB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COSTI BOLLO</vt:lpstr>
      <vt:lpstr>LINK REGIONE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 sil</dc:creator>
  <cp:lastModifiedBy>Sil sil</cp:lastModifiedBy>
  <dcterms:created xsi:type="dcterms:W3CDTF">2024-04-16T09:02:14Z</dcterms:created>
  <dcterms:modified xsi:type="dcterms:W3CDTF">2024-04-16T13:20:01Z</dcterms:modified>
</cp:coreProperties>
</file>